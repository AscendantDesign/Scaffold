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GitHub\_Scaffold\Docs\"/>
    </mc:Choice>
  </mc:AlternateContent>
  <xr:revisionPtr revIDLastSave="0" documentId="13_ncr:1_{BFE3FDAD-0988-4ACA-BE9E-A5DB98BDE6FA}" xr6:coauthVersionLast="45" xr6:coauthVersionMax="45" xr10:uidLastSave="{00000000-0000-0000-0000-000000000000}"/>
  <bookViews>
    <workbookView xWindow="8916" yWindow="552" windowWidth="11952" windowHeight="11676" firstSheet="2" activeTab="4" xr2:uid="{B643CCEF-82F3-4C97-9922-7A184C5952A3}"/>
  </bookViews>
  <sheets>
    <sheet name="ScrollRange" sheetId="1" r:id="rId1"/>
    <sheet name="NodeDataOrder" sheetId="3" r:id="rId2"/>
    <sheet name="SocketDataOrder" sheetId="2" r:id="rId3"/>
    <sheet name="EasingCombo" sheetId="4" r:id="rId4"/>
    <sheet name="SVGRender" sheetId="5" r:id="rId5"/>
  </sheets>
  <definedNames>
    <definedName name="scrollHMax">ScrollRange!$B$11</definedName>
    <definedName name="scrollHMin">ScrollRange!$B$10</definedName>
    <definedName name="scrollHVal">ScrollRange!$B$12</definedName>
    <definedName name="scrollPortH">ScrollRange!$B$3</definedName>
    <definedName name="scrollPortW">ScrollRange!$B$2</definedName>
    <definedName name="scrollViewH">ScrollRange!$B$8</definedName>
    <definedName name="scrollViewW">ScrollRange!$B$7</definedName>
    <definedName name="scrollViewX">ScrollRange!$B$5</definedName>
    <definedName name="scrollViewY">ScrollRange!$B$6</definedName>
    <definedName name="scrollVMax">ScrollRange!$B$16</definedName>
    <definedName name="scrollVMin">ScrollRange!$B$15</definedName>
    <definedName name="scrollVVal">ScrollRange!$B$17</definedName>
    <definedName name="scrollWinMaX">ScrollRange!#REF!</definedName>
    <definedName name="scrollWinMaY">ScrollRange!#REF!</definedName>
    <definedName name="scrollWinMiX">ScrollRange!#REF!</definedName>
    <definedName name="scrollWinMiY">ScrollRange!#REF!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" l="1"/>
  <c r="B16" i="1" s="1"/>
  <c r="B18" i="1" s="1"/>
  <c r="B10" i="1"/>
  <c r="B11" i="1" s="1"/>
  <c r="C12" i="1" s="1"/>
  <c r="B13" i="1" l="1"/>
  <c r="C17" i="1"/>
</calcChain>
</file>

<file path=xl/sharedStrings.xml><?xml version="1.0" encoding="utf-8"?>
<sst xmlns="http://schemas.openxmlformats.org/spreadsheetml/2006/main" count="137" uniqueCount="94">
  <si>
    <t>Port W:</t>
  </si>
  <si>
    <t>Port H:</t>
  </si>
  <si>
    <t>View W:</t>
  </si>
  <si>
    <t>View H:</t>
  </si>
  <si>
    <t>Hsc Min:</t>
  </si>
  <si>
    <t>Hsc Max:</t>
  </si>
  <si>
    <t>Hsc Val:</t>
  </si>
  <si>
    <t>Vsc Max:</t>
  </si>
  <si>
    <t>Vsc Min:</t>
  </si>
  <si>
    <t>Vsc Val:</t>
  </si>
  <si>
    <t>View X:</t>
  </si>
  <si>
    <t>View Y:</t>
  </si>
  <si>
    <t>Hsc Vis:</t>
  </si>
  <si>
    <t>Vsc Vis:</t>
  </si>
  <si>
    <t>Connections</t>
  </si>
  <si>
    <t>Properties</t>
  </si>
  <si>
    <t>Height</t>
  </si>
  <si>
    <t>Width</t>
  </si>
  <si>
    <t>Y</t>
  </si>
  <si>
    <t>X</t>
  </si>
  <si>
    <t>SocketMode</t>
  </si>
  <si>
    <t>TitleProperty</t>
  </si>
  <si>
    <t>Sockets</t>
  </si>
  <si>
    <t>NodeColor</t>
  </si>
  <si>
    <t>TitleHeight</t>
  </si>
  <si>
    <t>ZOrder</t>
  </si>
  <si>
    <t>NodeType</t>
  </si>
  <si>
    <t>TextX</t>
  </si>
  <si>
    <t>TextY</t>
  </si>
  <si>
    <t>TextWidth</t>
  </si>
  <si>
    <t>TextHeight</t>
  </si>
  <si>
    <t>Ticket</t>
  </si>
  <si>
    <t>Previous</t>
  </si>
  <si>
    <t>Next</t>
  </si>
  <si>
    <t>None</t>
  </si>
  <si>
    <t>LinearIn</t>
  </si>
  <si>
    <t>CountIn</t>
  </si>
  <si>
    <t>CountOut</t>
  </si>
  <si>
    <t>BounceIn</t>
  </si>
  <si>
    <t>BounceOut</t>
  </si>
  <si>
    <t>Immediate</t>
  </si>
  <si>
    <t>A .. B</t>
  </si>
  <si>
    <t>A .. B-C</t>
  </si>
  <si>
    <t>Bounce(A .. B)</t>
  </si>
  <si>
    <t>B</t>
  </si>
  <si>
    <t>Pattern</t>
  </si>
  <si>
    <t>B-C+1 .. B</t>
  </si>
  <si>
    <t>A .. A+C-1</t>
  </si>
  <si>
    <t>A+C .. B</t>
  </si>
  <si>
    <t>A+C .. B-C</t>
  </si>
  <si>
    <t>Bounce(A+C .. B)</t>
  </si>
  <si>
    <t>Bounce(A .. M)</t>
  </si>
  <si>
    <t>M+1 .. B</t>
  </si>
  <si>
    <t>A .. M</t>
  </si>
  <si>
    <t>Bounce(M+1 .. B)</t>
  </si>
  <si>
    <t>Bounce(A .. B-C)</t>
  </si>
  <si>
    <t>Bounce(A .. B-1)</t>
  </si>
  <si>
    <t>A+1 .. B-C</t>
  </si>
  <si>
    <t>A+1 .. B</t>
  </si>
  <si>
    <t>A+1 .. M</t>
  </si>
  <si>
    <t>A -&gt; B-1</t>
  </si>
  <si>
    <t>A+C -&gt; B-1</t>
  </si>
  <si>
    <t>None, LinearIn, LinearOut, CountIn, BounceIn</t>
  </si>
  <si>
    <t>Load(filename)</t>
  </si>
  <si>
    <t>Load(stream)</t>
  </si>
  <si>
    <t>Order</t>
  </si>
  <si>
    <t>Load(reader)</t>
  </si>
  <si>
    <t>Load(xdoc)</t>
  </si>
  <si>
    <t>Find defs</t>
  </si>
  <si>
    <t>Set Version</t>
  </si>
  <si>
    <t>Set Title</t>
  </si>
  <si>
    <t>Set Description</t>
  </si>
  <si>
    <t>Set preserveAspectRatio</t>
  </si>
  <si>
    <t>Set ViewBox</t>
  </si>
  <si>
    <t>ReadRectangle</t>
  </si>
  <si>
    <t>Set CanvasSize</t>
  </si>
  <si>
    <t>Set Width</t>
  </si>
  <si>
    <t>Set Height</t>
  </si>
  <si>
    <t>Start PictureRecorder</t>
  </si>
  <si>
    <t>ReadPaints</t>
  </si>
  <si>
    <t>End Recording</t>
  </si>
  <si>
    <t>ReadPaints(element)</t>
  </si>
  <si>
    <t>ReadElement(element)</t>
  </si>
  <si>
    <t>ReadRoundedRect(element)</t>
  </si>
  <si>
    <t>ReadOval(element)</t>
  </si>
  <si>
    <t>ReadCircle(element)</t>
  </si>
  <si>
    <t>ReadLine(element)</t>
  </si>
  <si>
    <t>LoadElements(elements, canvas, stroke, fill)</t>
  </si>
  <si>
    <t>ReadElement(element, canvas, stroke, fill)</t>
  </si>
  <si>
    <t>ReadImage(element)</t>
  </si>
  <si>
    <t>ReadText(element)</t>
  </si>
  <si>
    <t>ReadOpacity(style)</t>
  </si>
  <si>
    <t>ReadNumber(value)</t>
  </si>
  <si>
    <t>ReadHref(element)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</si>
</sst>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0" borderId="0" xfId="0" applyFill="1" applyBorder="1"/>
    <xf numFmtId="0" fontId="0" fillId="0" borderId="3" xfId="0" applyBorder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BD97-6A7B-48C2-B77E-036DA9A55DEB}">
  <dimension ref="A2:C18"/>
  <sheetViews>
    <sheetView workbookViewId="0">
      <selection activeCell="B6" sqref="B6"/>
    </sheetView>
  </sheetViews>
  <sheetFormatPr defaultRowHeight="14.4" x14ac:dyDescent="0.3"/>
  <sheetData>
    <row r="2" spans="1:3" x14ac:dyDescent="0.3">
      <c r="A2" t="s">
        <v>0</v>
      </c>
      <c r="B2" s="1">
        <v>423</v>
      </c>
    </row>
    <row r="3" spans="1:3" x14ac:dyDescent="0.3">
      <c r="A3" t="s">
        <v>1</v>
      </c>
      <c r="B3" s="1">
        <v>322</v>
      </c>
    </row>
    <row r="5" spans="1:3" x14ac:dyDescent="0.3">
      <c r="A5" t="s">
        <v>10</v>
      </c>
      <c r="B5" s="1">
        <v>0</v>
      </c>
    </row>
    <row r="6" spans="1:3" x14ac:dyDescent="0.3">
      <c r="A6" t="s">
        <v>11</v>
      </c>
      <c r="B6" s="1">
        <v>-61</v>
      </c>
    </row>
    <row r="7" spans="1:3" x14ac:dyDescent="0.3">
      <c r="A7" t="s">
        <v>2</v>
      </c>
      <c r="B7" s="1">
        <v>423</v>
      </c>
    </row>
    <row r="8" spans="1:3" x14ac:dyDescent="0.3">
      <c r="A8" t="s">
        <v>3</v>
      </c>
      <c r="B8" s="1">
        <v>378</v>
      </c>
    </row>
    <row r="9" spans="1:3" ht="15" thickBot="1" x14ac:dyDescent="0.35"/>
    <row r="10" spans="1:3" ht="15" thickBot="1" x14ac:dyDescent="0.35">
      <c r="A10" t="s">
        <v>4</v>
      </c>
      <c r="B10" s="2">
        <f>MIN(0,scrollViewX)</f>
        <v>0</v>
      </c>
    </row>
    <row r="11" spans="1:3" ht="15" thickBot="1" x14ac:dyDescent="0.35">
      <c r="A11" t="s">
        <v>5</v>
      </c>
      <c r="B11" s="2">
        <f>IF(scrollPortW&lt;scrollViewW,MAX(0,scrollHMin+(scrollViewW-scrollPortW)),MAX(0,scrollHMin))</f>
        <v>0</v>
      </c>
    </row>
    <row r="12" spans="1:3" ht="15" thickBot="1" x14ac:dyDescent="0.35">
      <c r="A12" t="s">
        <v>6</v>
      </c>
      <c r="B12" s="4">
        <v>150</v>
      </c>
      <c r="C12" s="2">
        <f>IF(scrollHVal&lt;scrollHMin,scrollHMin,IF(scrollHVal&gt;scrollHMax,scrollHMax,scrollHVal))</f>
        <v>0</v>
      </c>
    </row>
    <row r="13" spans="1:3" ht="15" thickBot="1" x14ac:dyDescent="0.35">
      <c r="A13" t="s">
        <v>12</v>
      </c>
      <c r="B13" s="2">
        <f>IF(scrollHMax&gt;scrollHMin,1,0)</f>
        <v>0</v>
      </c>
      <c r="C13" s="3"/>
    </row>
    <row r="14" spans="1:3" ht="15" thickBot="1" x14ac:dyDescent="0.35"/>
    <row r="15" spans="1:3" ht="15" thickBot="1" x14ac:dyDescent="0.35">
      <c r="A15" t="s">
        <v>8</v>
      </c>
      <c r="B15" s="2">
        <f>MIN(0,scrollViewY)</f>
        <v>-61</v>
      </c>
    </row>
    <row r="16" spans="1:3" ht="15" thickBot="1" x14ac:dyDescent="0.35">
      <c r="A16" t="s">
        <v>7</v>
      </c>
      <c r="B16" s="2">
        <f>IF(scrollPortH&lt;scrollViewH,MAX(0,scrollVMin+(scrollViewH-scrollPortH)),MAX(0,scrollVMin))</f>
        <v>0</v>
      </c>
    </row>
    <row r="17" spans="1:3" ht="15" thickBot="1" x14ac:dyDescent="0.35">
      <c r="A17" t="s">
        <v>9</v>
      </c>
      <c r="B17" s="4">
        <v>-5</v>
      </c>
      <c r="C17" s="2">
        <f>IF(scrollVVal&lt;scrollVMin,scrollVMin,IF(scrollVVal&gt;scrollVMax,scrollVMax,scrollVVal))</f>
        <v>-5</v>
      </c>
    </row>
    <row r="18" spans="1:3" ht="15" thickBot="1" x14ac:dyDescent="0.35">
      <c r="A18" t="s">
        <v>13</v>
      </c>
      <c r="B18" s="2">
        <f>IF(scrollVMax-scrollVMin&gt;0,1,0)</f>
        <v>1</v>
      </c>
      <c r="C18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3E647-6201-48CD-80CA-AA96EBB3E3FC}">
  <dimension ref="A1:B12"/>
  <sheetViews>
    <sheetView workbookViewId="0">
      <selection activeCell="B3" sqref="B3"/>
    </sheetView>
  </sheetViews>
  <sheetFormatPr defaultRowHeight="14.4" x14ac:dyDescent="0.3"/>
  <sheetData>
    <row r="1" spans="1:2" x14ac:dyDescent="0.3">
      <c r="A1">
        <v>7</v>
      </c>
      <c r="B1" t="s">
        <v>16</v>
      </c>
    </row>
    <row r="2" spans="1:2" x14ac:dyDescent="0.3">
      <c r="A2">
        <v>0</v>
      </c>
      <c r="B2" t="s">
        <v>31</v>
      </c>
    </row>
    <row r="3" spans="1:2" x14ac:dyDescent="0.3">
      <c r="A3">
        <v>9</v>
      </c>
      <c r="B3" t="s">
        <v>23</v>
      </c>
    </row>
    <row r="4" spans="1:2" x14ac:dyDescent="0.3">
      <c r="A4">
        <v>2</v>
      </c>
      <c r="B4" t="s">
        <v>26</v>
      </c>
    </row>
    <row r="5" spans="1:2" x14ac:dyDescent="0.3">
      <c r="A5">
        <v>11</v>
      </c>
      <c r="B5" t="s">
        <v>15</v>
      </c>
    </row>
    <row r="6" spans="1:2" x14ac:dyDescent="0.3">
      <c r="A6">
        <v>10</v>
      </c>
      <c r="B6" t="s">
        <v>22</v>
      </c>
    </row>
    <row r="7" spans="1:2" x14ac:dyDescent="0.3">
      <c r="A7">
        <v>8</v>
      </c>
      <c r="B7" t="s">
        <v>24</v>
      </c>
    </row>
    <row r="8" spans="1:2" x14ac:dyDescent="0.3">
      <c r="A8">
        <v>1</v>
      </c>
      <c r="B8" t="s">
        <v>21</v>
      </c>
    </row>
    <row r="9" spans="1:2" x14ac:dyDescent="0.3">
      <c r="A9">
        <v>6</v>
      </c>
      <c r="B9" t="s">
        <v>17</v>
      </c>
    </row>
    <row r="10" spans="1:2" x14ac:dyDescent="0.3">
      <c r="A10">
        <v>4</v>
      </c>
      <c r="B10" t="s">
        <v>19</v>
      </c>
    </row>
    <row r="11" spans="1:2" x14ac:dyDescent="0.3">
      <c r="A11">
        <v>5</v>
      </c>
      <c r="B11" t="s">
        <v>18</v>
      </c>
    </row>
    <row r="12" spans="1:2" x14ac:dyDescent="0.3">
      <c r="A12">
        <v>3</v>
      </c>
      <c r="B12" t="s">
        <v>25</v>
      </c>
    </row>
  </sheetData>
  <sortState xmlns:xlrd2="http://schemas.microsoft.com/office/spreadsheetml/2017/richdata2" ref="A1:B12">
    <sortCondition ref="B1:B1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DC263-5DA1-42EE-92DE-42FF85203A72}">
  <dimension ref="A1:B13"/>
  <sheetViews>
    <sheetView workbookViewId="0">
      <selection activeCell="B2" sqref="B2"/>
    </sheetView>
  </sheetViews>
  <sheetFormatPr defaultRowHeight="14.4" x14ac:dyDescent="0.3"/>
  <sheetData>
    <row r="1" spans="1:2" x14ac:dyDescent="0.3">
      <c r="A1">
        <v>0</v>
      </c>
      <c r="B1" t="s">
        <v>31</v>
      </c>
    </row>
    <row r="2" spans="1:2" x14ac:dyDescent="0.3">
      <c r="A2">
        <v>1</v>
      </c>
      <c r="B2" t="s">
        <v>21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19</v>
      </c>
    </row>
    <row r="5" spans="1:2" x14ac:dyDescent="0.3">
      <c r="A5">
        <v>4</v>
      </c>
      <c r="B5" t="s">
        <v>18</v>
      </c>
    </row>
    <row r="6" spans="1:2" x14ac:dyDescent="0.3">
      <c r="A6">
        <v>5</v>
      </c>
      <c r="B6" t="s">
        <v>17</v>
      </c>
    </row>
    <row r="7" spans="1:2" x14ac:dyDescent="0.3">
      <c r="A7">
        <v>6</v>
      </c>
      <c r="B7" t="s">
        <v>16</v>
      </c>
    </row>
    <row r="8" spans="1:2" x14ac:dyDescent="0.3">
      <c r="A8">
        <v>7</v>
      </c>
      <c r="B8" t="s">
        <v>27</v>
      </c>
    </row>
    <row r="9" spans="1:2" x14ac:dyDescent="0.3">
      <c r="A9">
        <v>8</v>
      </c>
      <c r="B9" t="s">
        <v>28</v>
      </c>
    </row>
    <row r="10" spans="1:2" x14ac:dyDescent="0.3">
      <c r="A10">
        <v>9</v>
      </c>
      <c r="B10" t="s">
        <v>29</v>
      </c>
    </row>
    <row r="11" spans="1:2" x14ac:dyDescent="0.3">
      <c r="A11">
        <v>10</v>
      </c>
      <c r="B11" t="s">
        <v>30</v>
      </c>
    </row>
    <row r="12" spans="1:2" x14ac:dyDescent="0.3">
      <c r="A12">
        <v>11</v>
      </c>
      <c r="B12" t="s">
        <v>15</v>
      </c>
    </row>
    <row r="13" spans="1:2" x14ac:dyDescent="0.3">
      <c r="A13">
        <v>12</v>
      </c>
      <c r="B13" t="s">
        <v>14</v>
      </c>
    </row>
  </sheetData>
  <sortState xmlns:xlrd2="http://schemas.microsoft.com/office/spreadsheetml/2017/richdata2" ref="A1:B15">
    <sortCondition ref="A1:A15"/>
    <sortCondition ref="B1:B1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095D4-11EF-4AFF-8EC8-F5A8CC9AD15D}">
  <dimension ref="A1:F21"/>
  <sheetViews>
    <sheetView workbookViewId="0">
      <pane ySplit="1" topLeftCell="A2" activePane="bottomLeft" state="frozen"/>
      <selection pane="bottomLeft" activeCell="A2" sqref="A2:A6"/>
    </sheetView>
  </sheetViews>
  <sheetFormatPr defaultRowHeight="14.4" x14ac:dyDescent="0.3"/>
  <cols>
    <col min="1" max="1" width="10.109375" bestFit="1" customWidth="1"/>
    <col min="2" max="2" width="9.77734375" bestFit="1" customWidth="1"/>
    <col min="3" max="3" width="14.33203125" bestFit="1" customWidth="1"/>
    <col min="4" max="4" width="15.109375" bestFit="1" customWidth="1"/>
    <col min="5" max="5" width="9" bestFit="1" customWidth="1"/>
    <col min="6" max="6" width="7" bestFit="1" customWidth="1"/>
  </cols>
  <sheetData>
    <row r="1" spans="1:6" x14ac:dyDescent="0.3">
      <c r="A1" t="s">
        <v>32</v>
      </c>
      <c r="B1" t="s">
        <v>33</v>
      </c>
      <c r="C1" t="s">
        <v>45</v>
      </c>
      <c r="D1" t="s">
        <v>45</v>
      </c>
      <c r="E1" t="s">
        <v>45</v>
      </c>
      <c r="F1" t="s">
        <v>45</v>
      </c>
    </row>
    <row r="2" spans="1:6" x14ac:dyDescent="0.3">
      <c r="A2" s="5" t="s">
        <v>62</v>
      </c>
      <c r="B2" t="s">
        <v>34</v>
      </c>
      <c r="C2" t="s">
        <v>41</v>
      </c>
    </row>
    <row r="3" spans="1:6" x14ac:dyDescent="0.3">
      <c r="A3" s="5"/>
      <c r="B3" t="s">
        <v>35</v>
      </c>
      <c r="C3" t="s">
        <v>41</v>
      </c>
    </row>
    <row r="4" spans="1:6" x14ac:dyDescent="0.3">
      <c r="A4" s="5"/>
      <c r="B4" t="s">
        <v>36</v>
      </c>
      <c r="C4" t="s">
        <v>42</v>
      </c>
      <c r="D4" t="s">
        <v>46</v>
      </c>
    </row>
    <row r="5" spans="1:6" x14ac:dyDescent="0.3">
      <c r="A5" s="5"/>
      <c r="B5" t="s">
        <v>38</v>
      </c>
      <c r="C5" t="s">
        <v>53</v>
      </c>
      <c r="D5" t="s">
        <v>54</v>
      </c>
    </row>
    <row r="6" spans="1:6" x14ac:dyDescent="0.3">
      <c r="A6" s="5"/>
      <c r="B6" t="s">
        <v>40</v>
      </c>
      <c r="C6" t="s">
        <v>60</v>
      </c>
      <c r="D6" t="s">
        <v>44</v>
      </c>
    </row>
    <row r="7" spans="1:6" x14ac:dyDescent="0.3">
      <c r="A7" s="6" t="s">
        <v>37</v>
      </c>
      <c r="B7" t="s">
        <v>34</v>
      </c>
      <c r="C7" t="s">
        <v>47</v>
      </c>
      <c r="D7" t="s">
        <v>44</v>
      </c>
    </row>
    <row r="8" spans="1:6" x14ac:dyDescent="0.3">
      <c r="A8" s="6"/>
      <c r="B8" t="s">
        <v>35</v>
      </c>
      <c r="C8" t="s">
        <v>47</v>
      </c>
      <c r="D8" t="s">
        <v>48</v>
      </c>
    </row>
    <row r="9" spans="1:6" x14ac:dyDescent="0.3">
      <c r="A9" s="6"/>
      <c r="B9" t="s">
        <v>36</v>
      </c>
      <c r="C9" t="s">
        <v>47</v>
      </c>
      <c r="D9" t="s">
        <v>49</v>
      </c>
      <c r="E9" t="s">
        <v>46</v>
      </c>
    </row>
    <row r="10" spans="1:6" x14ac:dyDescent="0.3">
      <c r="A10" s="6"/>
      <c r="B10" t="s">
        <v>38</v>
      </c>
      <c r="C10" t="s">
        <v>47</v>
      </c>
      <c r="D10" t="s">
        <v>50</v>
      </c>
    </row>
    <row r="11" spans="1:6" x14ac:dyDescent="0.3">
      <c r="A11" s="6"/>
      <c r="B11" t="s">
        <v>40</v>
      </c>
      <c r="C11" t="s">
        <v>47</v>
      </c>
      <c r="D11" t="s">
        <v>61</v>
      </c>
      <c r="E11" t="s">
        <v>44</v>
      </c>
    </row>
    <row r="12" spans="1:6" x14ac:dyDescent="0.3">
      <c r="A12" s="6" t="s">
        <v>39</v>
      </c>
      <c r="B12" t="s">
        <v>34</v>
      </c>
      <c r="C12" t="s">
        <v>43</v>
      </c>
    </row>
    <row r="13" spans="1:6" x14ac:dyDescent="0.3">
      <c r="A13" s="6"/>
      <c r="B13" t="s">
        <v>35</v>
      </c>
      <c r="C13" t="s">
        <v>51</v>
      </c>
      <c r="D13" t="s">
        <v>52</v>
      </c>
    </row>
    <row r="14" spans="1:6" x14ac:dyDescent="0.3">
      <c r="A14" s="6"/>
      <c r="B14" t="s">
        <v>36</v>
      </c>
      <c r="C14" t="s">
        <v>55</v>
      </c>
      <c r="D14" t="s">
        <v>46</v>
      </c>
    </row>
    <row r="15" spans="1:6" x14ac:dyDescent="0.3">
      <c r="A15" s="6"/>
      <c r="B15" t="s">
        <v>38</v>
      </c>
      <c r="C15" t="s">
        <v>51</v>
      </c>
      <c r="D15" t="s">
        <v>54</v>
      </c>
    </row>
    <row r="16" spans="1:6" x14ac:dyDescent="0.3">
      <c r="A16" s="6"/>
      <c r="B16" t="s">
        <v>40</v>
      </c>
      <c r="C16" t="s">
        <v>56</v>
      </c>
      <c r="D16" t="s">
        <v>44</v>
      </c>
    </row>
    <row r="17" spans="1:4" x14ac:dyDescent="0.3">
      <c r="A17" s="6" t="s">
        <v>40</v>
      </c>
      <c r="B17" t="s">
        <v>34</v>
      </c>
      <c r="C17" t="s">
        <v>58</v>
      </c>
    </row>
    <row r="18" spans="1:4" x14ac:dyDescent="0.3">
      <c r="A18" s="6"/>
      <c r="B18" t="s">
        <v>35</v>
      </c>
      <c r="C18" t="s">
        <v>58</v>
      </c>
    </row>
    <row r="19" spans="1:4" x14ac:dyDescent="0.3">
      <c r="A19" s="6"/>
      <c r="B19" t="s">
        <v>36</v>
      </c>
      <c r="C19" t="s">
        <v>57</v>
      </c>
      <c r="D19" t="s">
        <v>46</v>
      </c>
    </row>
    <row r="20" spans="1:4" x14ac:dyDescent="0.3">
      <c r="A20" s="6"/>
      <c r="B20" t="s">
        <v>38</v>
      </c>
      <c r="C20" t="s">
        <v>59</v>
      </c>
      <c r="D20" t="s">
        <v>54</v>
      </c>
    </row>
    <row r="21" spans="1:4" x14ac:dyDescent="0.3">
      <c r="A21" s="6"/>
      <c r="B21" t="s">
        <v>40</v>
      </c>
      <c r="C21" t="s">
        <v>60</v>
      </c>
      <c r="D21" t="s">
        <v>44</v>
      </c>
    </row>
  </sheetData>
  <mergeCells count="4">
    <mergeCell ref="A2:A6"/>
    <mergeCell ref="A7:A11"/>
    <mergeCell ref="A12:A16"/>
    <mergeCell ref="A17:A2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A92EE-A9DB-4C01-860E-94BA7BCFF429}">
  <dimension ref="A1:H31"/>
  <sheetViews>
    <sheetView tabSelected="1" topLeftCell="A13" workbookViewId="0">
      <selection activeCell="G30" sqref="G30"/>
    </sheetView>
  </sheetViews>
  <sheetFormatPr defaultRowHeight="14.4" x14ac:dyDescent="0.3"/>
  <cols>
    <col min="1" max="9" width="3.77734375" customWidth="1"/>
  </cols>
  <sheetData>
    <row r="1" spans="1:5" x14ac:dyDescent="0.3">
      <c r="A1" t="s">
        <v>65</v>
      </c>
    </row>
    <row r="2" spans="1:5" x14ac:dyDescent="0.3">
      <c r="A2" t="s">
        <v>63</v>
      </c>
    </row>
    <row r="3" spans="1:5" x14ac:dyDescent="0.3">
      <c r="B3" t="s">
        <v>64</v>
      </c>
    </row>
    <row r="4" spans="1:5" x14ac:dyDescent="0.3">
      <c r="C4" t="s">
        <v>66</v>
      </c>
    </row>
    <row r="5" spans="1:5" x14ac:dyDescent="0.3">
      <c r="D5" t="s">
        <v>67</v>
      </c>
    </row>
    <row r="6" spans="1:5" x14ac:dyDescent="0.3">
      <c r="D6" t="s">
        <v>68</v>
      </c>
    </row>
    <row r="7" spans="1:5" x14ac:dyDescent="0.3">
      <c r="D7" t="s">
        <v>69</v>
      </c>
    </row>
    <row r="8" spans="1:5" x14ac:dyDescent="0.3">
      <c r="D8" t="s">
        <v>70</v>
      </c>
    </row>
    <row r="9" spans="1:5" x14ac:dyDescent="0.3">
      <c r="D9" t="s">
        <v>71</v>
      </c>
    </row>
    <row r="10" spans="1:5" x14ac:dyDescent="0.3">
      <c r="D10" t="s">
        <v>72</v>
      </c>
    </row>
    <row r="11" spans="1:5" x14ac:dyDescent="0.3">
      <c r="D11" t="s">
        <v>73</v>
      </c>
    </row>
    <row r="12" spans="1:5" x14ac:dyDescent="0.3">
      <c r="E12" t="s">
        <v>74</v>
      </c>
    </row>
    <row r="13" spans="1:5" x14ac:dyDescent="0.3">
      <c r="D13" t="s">
        <v>75</v>
      </c>
    </row>
    <row r="14" spans="1:5" x14ac:dyDescent="0.3">
      <c r="D14" t="s">
        <v>76</v>
      </c>
    </row>
    <row r="15" spans="1:5" x14ac:dyDescent="0.3">
      <c r="D15" t="s">
        <v>77</v>
      </c>
    </row>
    <row r="16" spans="1:5" x14ac:dyDescent="0.3">
      <c r="D16" t="s">
        <v>78</v>
      </c>
    </row>
    <row r="17" spans="4:8" x14ac:dyDescent="0.3">
      <c r="E17" t="s">
        <v>81</v>
      </c>
    </row>
    <row r="18" spans="4:8" x14ac:dyDescent="0.3">
      <c r="E18" t="s">
        <v>87</v>
      </c>
    </row>
    <row r="19" spans="4:8" x14ac:dyDescent="0.3">
      <c r="F19" t="s">
        <v>88</v>
      </c>
    </row>
    <row r="20" spans="4:8" x14ac:dyDescent="0.3">
      <c r="G20" t="s">
        <v>79</v>
      </c>
    </row>
    <row r="21" spans="4:8" x14ac:dyDescent="0.3">
      <c r="G21" t="s">
        <v>89</v>
      </c>
    </row>
    <row r="22" spans="4:8" x14ac:dyDescent="0.3">
      <c r="G22" t="s">
        <v>90</v>
      </c>
    </row>
    <row r="23" spans="4:8" x14ac:dyDescent="0.3">
      <c r="G23" t="s">
        <v>82</v>
      </c>
    </row>
    <row r="24" spans="4:8" x14ac:dyDescent="0.3">
      <c r="H24" t="s">
        <v>83</v>
      </c>
    </row>
    <row r="25" spans="4:8" x14ac:dyDescent="0.3">
      <c r="H25" t="s">
        <v>84</v>
      </c>
    </row>
    <row r="26" spans="4:8" x14ac:dyDescent="0.3">
      <c r="H26" t="s">
        <v>85</v>
      </c>
    </row>
    <row r="27" spans="4:8" x14ac:dyDescent="0.3">
      <c r="H27" t="s">
        <v>86</v>
      </c>
    </row>
    <row r="28" spans="4:8" x14ac:dyDescent="0.3">
      <c r="G28" t="s">
        <v>91</v>
      </c>
    </row>
    <row r="29" spans="4:8" x14ac:dyDescent="0.3">
      <c r="G29" t="s">
        <v>93</v>
      </c>
    </row>
    <row r="30" spans="4:8" x14ac:dyDescent="0.3">
      <c r="G30" t="s">
        <v>92</v>
      </c>
    </row>
    <row r="31" spans="4:8" x14ac:dyDescent="0.3">
      <c r="D31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ScrollRange</vt:lpstr>
      <vt:lpstr>NodeDataOrder</vt:lpstr>
      <vt:lpstr>SocketDataOrder</vt:lpstr>
      <vt:lpstr>EasingCombo</vt:lpstr>
      <vt:lpstr>SVGRender</vt:lpstr>
      <vt:lpstr>scrollHMax</vt:lpstr>
      <vt:lpstr>scrollHMin</vt:lpstr>
      <vt:lpstr>scrollHVal</vt:lpstr>
      <vt:lpstr>scrollPortH</vt:lpstr>
      <vt:lpstr>scrollPortW</vt:lpstr>
      <vt:lpstr>scrollViewH</vt:lpstr>
      <vt:lpstr>scrollViewW</vt:lpstr>
      <vt:lpstr>scrollViewX</vt:lpstr>
      <vt:lpstr>scrollViewY</vt:lpstr>
      <vt:lpstr>scrollVMax</vt:lpstr>
      <vt:lpstr>scrollVMin</vt:lpstr>
      <vt:lpstr>scrollVVal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Patterson</dc:creator>
  <cp:lastModifiedBy>Daniel Patterson</cp:lastModifiedBy>
  <dcterms:created xsi:type="dcterms:W3CDTF">2020-08-25T12:33:54Z</dcterms:created>
  <dcterms:modified xsi:type="dcterms:W3CDTF">2020-10-14T12:37:42Z</dcterms:modified>
</cp:coreProperties>
</file>