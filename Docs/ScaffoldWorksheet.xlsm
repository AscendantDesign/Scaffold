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Scaffold\Docs\"/>
    </mc:Choice>
  </mc:AlternateContent>
  <xr:revisionPtr revIDLastSave="0" documentId="13_ncr:1_{3CDC8A72-C9C6-4F2C-9895-6B6BA2E41947}" xr6:coauthVersionLast="45" xr6:coauthVersionMax="45" xr10:uidLastSave="{00000000-0000-0000-0000-000000000000}"/>
  <bookViews>
    <workbookView xWindow="8568" yWindow="600" windowWidth="11952" windowHeight="11676" xr2:uid="{B643CCEF-82F3-4C97-9922-7A184C5952A3}"/>
  </bookViews>
  <sheets>
    <sheet name="UtilMigrationNodesUpdate" sheetId="9" r:id="rId1"/>
    <sheet name="ScrollRange" sheetId="1" r:id="rId2"/>
    <sheet name="NodeBuiltInPropertyOrder" sheetId="3" r:id="rId3"/>
    <sheet name="NodeProperties" sheetId="8" r:id="rId4"/>
    <sheet name="SocketDataOrder" sheetId="2" r:id="rId5"/>
    <sheet name="EasingCombo" sheetId="4" r:id="rId6"/>
    <sheet name="SVGRender" sheetId="5" r:id="rId7"/>
    <sheet name="MenuItems" sheetId="6" r:id="rId8"/>
    <sheet name="MouseBehaviors" sheetId="7" r:id="rId9"/>
  </sheets>
  <definedNames>
    <definedName name="scrollHMax">ScrollRange!$B$11</definedName>
    <definedName name="scrollHMin">ScrollRange!$B$10</definedName>
    <definedName name="scrollHVal">ScrollRange!$B$12</definedName>
    <definedName name="scrollPortH">ScrollRange!$B$3</definedName>
    <definedName name="scrollPortW">ScrollRange!$B$2</definedName>
    <definedName name="scrollViewH">ScrollRange!$B$8</definedName>
    <definedName name="scrollViewW">ScrollRange!$B$7</definedName>
    <definedName name="scrollViewX">ScrollRange!$B$5</definedName>
    <definedName name="scrollViewY">ScrollRange!$B$6</definedName>
    <definedName name="scrollVMax">ScrollRange!$B$16</definedName>
    <definedName name="scrollVMin">ScrollRange!$B$15</definedName>
    <definedName name="scrollVVal">ScrollRange!$B$17</definedName>
    <definedName name="scrollWinMaX">ScrollRange!#REF!</definedName>
    <definedName name="scrollWinMaY">ScrollRange!#REF!</definedName>
    <definedName name="scrollWinMiX">ScrollRange!#REF!</definedName>
    <definedName name="scrollWinMiY">ScrollRange!#REF!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" l="1"/>
  <c r="B16" i="1" s="1"/>
  <c r="B18" i="1" s="1"/>
  <c r="B10" i="1"/>
  <c r="B11" i="1" s="1"/>
  <c r="C12" i="1" s="1"/>
  <c r="B13" i="1" l="1"/>
  <c r="C17" i="1"/>
</calcChain>
</file>

<file path=xl/sharedStrings.xml><?xml version="1.0" encoding="utf-8"?>
<sst xmlns="http://schemas.openxmlformats.org/spreadsheetml/2006/main" count="441" uniqueCount="319">
  <si>
    <t>Port W:</t>
  </si>
  <si>
    <t>Port H:</t>
  </si>
  <si>
    <t>View W:</t>
  </si>
  <si>
    <t>View H:</t>
  </si>
  <si>
    <t>Hsc Min:</t>
  </si>
  <si>
    <t>Hsc Max:</t>
  </si>
  <si>
    <t>Hsc Val:</t>
  </si>
  <si>
    <t>Vsc Max:</t>
  </si>
  <si>
    <t>Vsc Min:</t>
  </si>
  <si>
    <t>Vsc Val:</t>
  </si>
  <si>
    <t>View X:</t>
  </si>
  <si>
    <t>View Y:</t>
  </si>
  <si>
    <t>Hsc Vis:</t>
  </si>
  <si>
    <t>Vsc Vis:</t>
  </si>
  <si>
    <t>Connections</t>
  </si>
  <si>
    <t>Properties</t>
  </si>
  <si>
    <t>Height</t>
  </si>
  <si>
    <t>Width</t>
  </si>
  <si>
    <t>Y</t>
  </si>
  <si>
    <t>X</t>
  </si>
  <si>
    <t>SocketMode</t>
  </si>
  <si>
    <t>TitleProperty</t>
  </si>
  <si>
    <t>Sockets</t>
  </si>
  <si>
    <t>NodeColor</t>
  </si>
  <si>
    <t>TitleHeight</t>
  </si>
  <si>
    <t>ZOrder</t>
  </si>
  <si>
    <t>NodeType</t>
  </si>
  <si>
    <t>TextX</t>
  </si>
  <si>
    <t>TextY</t>
  </si>
  <si>
    <t>TextWidth</t>
  </si>
  <si>
    <t>TextHeight</t>
  </si>
  <si>
    <t>Ticket</t>
  </si>
  <si>
    <t>Previous</t>
  </si>
  <si>
    <t>Next</t>
  </si>
  <si>
    <t>None</t>
  </si>
  <si>
    <t>LinearIn</t>
  </si>
  <si>
    <t>CountIn</t>
  </si>
  <si>
    <t>CountOut</t>
  </si>
  <si>
    <t>BounceIn</t>
  </si>
  <si>
    <t>BounceOut</t>
  </si>
  <si>
    <t>Immediate</t>
  </si>
  <si>
    <t>A .. B</t>
  </si>
  <si>
    <t>A .. B-C</t>
  </si>
  <si>
    <t>Bounce(A .. B)</t>
  </si>
  <si>
    <t>B</t>
  </si>
  <si>
    <t>Pattern</t>
  </si>
  <si>
    <t>B-C+1 .. B</t>
  </si>
  <si>
    <t>A .. A+C-1</t>
  </si>
  <si>
    <t>A+C .. B</t>
  </si>
  <si>
    <t>A+C .. B-C</t>
  </si>
  <si>
    <t>Bounce(A+C .. B)</t>
  </si>
  <si>
    <t>Bounce(A .. M)</t>
  </si>
  <si>
    <t>M+1 .. B</t>
  </si>
  <si>
    <t>A .. M</t>
  </si>
  <si>
    <t>Bounce(M+1 .. B)</t>
  </si>
  <si>
    <t>Bounce(A .. B-C)</t>
  </si>
  <si>
    <t>Bounce(A .. B-1)</t>
  </si>
  <si>
    <t>A+1 .. B-C</t>
  </si>
  <si>
    <t>A+1 .. B</t>
  </si>
  <si>
    <t>A+1 .. M</t>
  </si>
  <si>
    <t>A -&gt; B-1</t>
  </si>
  <si>
    <t>A+C -&gt; B-1</t>
  </si>
  <si>
    <t>None, LinearIn, LinearOut, CountIn, BounceIn</t>
  </si>
  <si>
    <t>Load(filename)</t>
  </si>
  <si>
    <t>Load(stream)</t>
  </si>
  <si>
    <t>Order</t>
  </si>
  <si>
    <t>Load(reader)</t>
  </si>
  <si>
    <t>Load(xdoc)</t>
  </si>
  <si>
    <t>Find defs</t>
  </si>
  <si>
    <t>Set Version</t>
  </si>
  <si>
    <t>Set Title</t>
  </si>
  <si>
    <t>Set Description</t>
  </si>
  <si>
    <t>Set preserveAspectRatio</t>
  </si>
  <si>
    <t>Set ViewBox</t>
  </si>
  <si>
    <t>ReadRectangle</t>
  </si>
  <si>
    <t>Set CanvasSize</t>
  </si>
  <si>
    <t>Set Width</t>
  </si>
  <si>
    <t>Set Height</t>
  </si>
  <si>
    <t>Start PictureRecorder</t>
  </si>
  <si>
    <t>ReadPaints</t>
  </si>
  <si>
    <t>End Recording</t>
  </si>
  <si>
    <t>ReadPaints(element)</t>
  </si>
  <si>
    <t>ReadElement(element)</t>
  </si>
  <si>
    <t>ReadRoundedRect(element)</t>
  </si>
  <si>
    <t>ReadOval(element)</t>
  </si>
  <si>
    <t>ReadCircle(element)</t>
  </si>
  <si>
    <t>ReadLine(element)</t>
  </si>
  <si>
    <t>LoadElements(elements, canvas, stroke, fill)</t>
  </si>
  <si>
    <t>ReadElement(element, canvas, stroke, fill)</t>
  </si>
  <si>
    <t>ReadImage(element)</t>
  </si>
  <si>
    <t>ReadText(element)</t>
  </si>
  <si>
    <t>ReadOpacity(style)</t>
  </si>
  <si>
    <t>ReadNumber(value)</t>
  </si>
  <si>
    <t>ReadHref(element)</t>
  </si>
  <si>
    <t>Window / Slide Editor</t>
  </si>
  <si>
    <t>Window / HTML Viewer</t>
  </si>
  <si>
    <t>Window / Decision Tree</t>
  </si>
  <si>
    <t>View / Zoom / Out</t>
  </si>
  <si>
    <t>View / Zoom / In</t>
  </si>
  <si>
    <t>View / Zoom / 100%</t>
  </si>
  <si>
    <t>View / Controls / Node Control Info</t>
  </si>
  <si>
    <t>Tools / Color Palette</t>
  </si>
  <si>
    <t>Tools / Clipboard / Clear</t>
  </si>
  <si>
    <t>Tools / base64 Data Unpacking / From File</t>
  </si>
  <si>
    <t>Tools / base64 Data Unpacking / From Clipboard</t>
  </si>
  <si>
    <t>Tools / base64 Data Packing / To Raw String</t>
  </si>
  <si>
    <t>Tools / base64 Data Packing / To HTML IMG SRC</t>
  </si>
  <si>
    <t>Tools / base64 Data Packing / To CSS URL</t>
  </si>
  <si>
    <t>Tools / Animation / Timeline File Report</t>
  </si>
  <si>
    <t>Tools / Animation / Save Animation Frames to Disk</t>
  </si>
  <si>
    <t>Tools / Animation / Draw Frame [N] to SVG View</t>
  </si>
  <si>
    <t>Tools / Animation / Draw Frame [N] to HTML View</t>
  </si>
  <si>
    <t>File / Save SVG File As</t>
  </si>
  <si>
    <t>File / Save SVG File</t>
  </si>
  <si>
    <t>File / Save Node File As</t>
  </si>
  <si>
    <t>File / Save Node File</t>
  </si>
  <si>
    <t>File / Open SVG File</t>
  </si>
  <si>
    <t>File / Open Node File</t>
  </si>
  <si>
    <t>File / Export / Decision Tree To PowerPoint</t>
  </si>
  <si>
    <t>File / Convert / PowerPoint To TinyLMS</t>
  </si>
  <si>
    <t>File / Convert / PowerPoint To HTML</t>
  </si>
  <si>
    <t>Edit / Duplicate Selected Nodes</t>
  </si>
  <si>
    <t>Name</t>
  </si>
  <si>
    <t>Alt Shortcut</t>
  </si>
  <si>
    <t>Shortcut</t>
  </si>
  <si>
    <t>Description</t>
  </si>
  <si>
    <t>Notes</t>
  </si>
  <si>
    <t>[Alt][E], [D]</t>
  </si>
  <si>
    <t>[Ctrl][D]</t>
  </si>
  <si>
    <t>Create a clone of all of the currently selected decision tree nodes.</t>
  </si>
  <si>
    <t>[Alt][F], [C], [H]</t>
  </si>
  <si>
    <t>[Alt][F], [C], [T]</t>
  </si>
  <si>
    <t>[Alt][F], [E], [P]</t>
  </si>
  <si>
    <t>[Alt][T], [A], [R]</t>
  </si>
  <si>
    <t>[Alt][V], [Z], [1]</t>
  </si>
  <si>
    <t>[Alt][V], [Z], [I]</t>
  </si>
  <si>
    <t>Convert a Microsoft PowerPoint slide series to interactive e-learning lesson and publish as universal HTML / SVG.</t>
  </si>
  <si>
    <t>Not yet implemented.</t>
  </si>
  <si>
    <t>[Alt][T], [A], [A]</t>
  </si>
  <si>
    <t>[Alt][V], [C], [N]</t>
  </si>
  <si>
    <t>Convert a Microsoft PowerPoint slide series to interactive e-learning lesson and publish as HTML / SVG for the Ascendant Design TinyLMS learning management system.</t>
  </si>
  <si>
    <t>[Alt][T], [A], [F]</t>
  </si>
  <si>
    <t>[Alt][T], [L], [C]</t>
  </si>
  <si>
    <t>Export the currently loaded decision tree layout to dialog captions on the specified Microsoft PowerPoint slide deck.</t>
  </si>
  <si>
    <t>[Ctrl][O]</t>
  </si>
  <si>
    <t>[Alt][F], [O]</t>
  </si>
  <si>
    <t>Open a .node.json file containing node definitions.</t>
  </si>
  <si>
    <t>Only visible when decision tree viewer is active.</t>
  </si>
  <si>
    <t>[Ctrl][S]</t>
  </si>
  <si>
    <t>Open an .svg file containing scalable vector graphics.</t>
  </si>
  <si>
    <t>Only visible when slide editor is active.</t>
  </si>
  <si>
    <t>[Alt][F], [S]</t>
  </si>
  <si>
    <t>Save changes to the current node file if a file had already been opened or saved. Otherwise, initiate the Save Node File As menu option.</t>
  </si>
  <si>
    <t>[Ctrl][Shift][S]</t>
  </si>
  <si>
    <t>[Ctrl][Shift][Z]</t>
  </si>
  <si>
    <t>[Alt][F], [A]</t>
  </si>
  <si>
    <t>Save current node layout as a new .node.json file.</t>
  </si>
  <si>
    <t>Save changes to the current SVG file if a file had already been opened or saved. Otherwise, initiate the Save SVG File As menu option.</t>
  </si>
  <si>
    <t>Save current SVG as a new .svg file.</t>
  </si>
  <si>
    <t>Load a .timeline.json animation data file and the accompanying SVG, then animate each frame in a user-specified range using the built-in HTML viewer.</t>
  </si>
  <si>
    <t>Load a .timeline.json animation data file and the accompanying SVG, then animate each frame in a user-specified range using the built-in SVG renderer (slide editor).</t>
  </si>
  <si>
    <t>Load a .timeline.json animation data file and the accompanying SVG, then animate each frame to the specified output file pattern.</t>
  </si>
  <si>
    <t>Use this method for creating stitched animation scenes and movies.</t>
  </si>
  <si>
    <t>[Alt][T], [A], [S]</t>
  </si>
  <si>
    <t>Display a report about characteristics of the specified .timeline.json animation data file.</t>
  </si>
  <si>
    <t>Report sections include
number of keyframes; total number of frames; number of scenes and marks; scene and mark listing; scenes, marks, and characters not used in a keyframe; keyframes referencing non-existent marks; discrete timeline where marks have been resolved to keyframes.</t>
  </si>
  <si>
    <t>[Alt][T], [P], [U]</t>
  </si>
  <si>
    <t>[Alt][T], [P], [S]</t>
  </si>
  <si>
    <t>[Alt][T], [U], [C]</t>
  </si>
  <si>
    <t>[Alt][T], [U], [F]</t>
  </si>
  <si>
    <t>Convert a binary file of any kind to a base64 encoded data URI for use with a CSS3 URL attribute.</t>
  </si>
  <si>
    <t>Convert a binary file of any kind to a base64 encoded data URI for use with a SRC attribute in an HTML &lt;img&gt; element.</t>
  </si>
  <si>
    <t>[Alt][T], [P], [R]</t>
  </si>
  <si>
    <t>Convert a binary file of any kind to a base64 string for use in any setting.</t>
  </si>
  <si>
    <t>Convert a base64 string to a binary file from the contents of the clipboard.</t>
  </si>
  <si>
    <t>Convert a base64 string in a source file to a binary destination file.</t>
  </si>
  <si>
    <t>Clear the contents of the clipboard.</t>
  </si>
  <si>
    <t>[Alt][T], [L], [L]</t>
  </si>
  <si>
    <t>Load the clipboard from a previously stored binary clipboard data file.</t>
  </si>
  <si>
    <t>[Alt][T], [L], [S]</t>
  </si>
  <si>
    <t>Save the current clipboard contents as a binary file.</t>
  </si>
  <si>
    <t>[Alt][T], [C]</t>
  </si>
  <si>
    <t>[Alt][W], [D]</t>
  </si>
  <si>
    <t>Display the color palette dialog.</t>
  </si>
  <si>
    <t>Useful for working with and selecting colors for other applications.</t>
  </si>
  <si>
    <t>[Alt][V], [Z], [O]</t>
  </si>
  <si>
    <t>Display a report of node control and related mouse positions, sizes, and properties.</t>
  </si>
  <si>
    <t>Mostly for form and control developer use.</t>
  </si>
  <si>
    <t>Zoom to 1:1 view.</t>
  </si>
  <si>
    <t>[Ctrl][Shift][I]</t>
  </si>
  <si>
    <t>[Ctrl][Shift][O]</t>
  </si>
  <si>
    <t>Zoom to 120% of the current zoom factor.</t>
  </si>
  <si>
    <t>Zoom to 83.3% of the current zoom factor.</t>
  </si>
  <si>
    <t>[Ctrl][1]</t>
  </si>
  <si>
    <t>Activate the decision tree node editor.</t>
  </si>
  <si>
    <t>Also commonly referred to as the Node Editor.</t>
  </si>
  <si>
    <t>[Ctrl][3]</t>
  </si>
  <si>
    <t>[Alt][W], [H]</t>
  </si>
  <si>
    <t>Activate the HTML preview control.</t>
  </si>
  <si>
    <t>[Ctrl][2]</t>
  </si>
  <si>
    <t>[Alt][W], [S]</t>
  </si>
  <si>
    <t>Activate the slide editor and SVG viewer.</t>
  </si>
  <si>
    <t>Tools / Clipboard / Load From File...</t>
  </si>
  <si>
    <t>Tools / Clipboard / Save As File...</t>
  </si>
  <si>
    <t>Behavior</t>
  </si>
  <si>
    <t>[Scroll]</t>
  </si>
  <si>
    <t>Pan Up / Down</t>
  </si>
  <si>
    <t>[Shift][Scroll]</t>
  </si>
  <si>
    <t>Pan Left / Right</t>
  </si>
  <si>
    <t>[Ctrl][Scroll]</t>
  </si>
  <si>
    <t>Zoom In / Out</t>
  </si>
  <si>
    <t>Delay</t>
  </si>
  <si>
    <t>NodeTextColor</t>
  </si>
  <si>
    <t>Category</t>
  </si>
  <si>
    <t>Built-in</t>
  </si>
  <si>
    <t>Question</t>
  </si>
  <si>
    <t>StoryColorFill</t>
  </si>
  <si>
    <t>Permanent</t>
  </si>
  <si>
    <t>Auxiliary</t>
  </si>
  <si>
    <t>Storyboard</t>
  </si>
  <si>
    <t>StoryColorOutline</t>
  </si>
  <si>
    <t>Type</t>
  </si>
  <si>
    <t>string</t>
  </si>
  <si>
    <t>int</t>
  </si>
  <si>
    <t>float</t>
  </si>
  <si>
    <t>color</t>
  </si>
  <si>
    <t>SocketCollection</t>
  </si>
  <si>
    <t>PropertyCollection</t>
  </si>
  <si>
    <t>StoryColorText</t>
  </si>
  <si>
    <t>StoryFontName</t>
  </si>
  <si>
    <t>StoryFontSize</t>
  </si>
  <si>
    <t>StoryPageHorizontalPlacement</t>
  </si>
  <si>
    <t>StoryPageNumber</t>
  </si>
  <si>
    <t>StoryPageVerticalPlacement</t>
  </si>
  <si>
    <t>StoryPageWidth</t>
  </si>
  <si>
    <t>StoryPageX</t>
  </si>
  <si>
    <t>StoryPageY</t>
  </si>
  <si>
    <t>StoryShapeType</t>
  </si>
  <si>
    <t>Media</t>
  </si>
  <si>
    <t>uri</t>
  </si>
  <si>
    <t>Reference to an image to display for this node. Data URI is allowed.</t>
  </si>
  <si>
    <t>MediaImage</t>
  </si>
  <si>
    <t>MediaLink</t>
  </si>
  <si>
    <t>url</t>
  </si>
  <si>
    <t>MediaAudio</t>
  </si>
  <si>
    <t>Reference to a video to play for this node. Data URI allowed.</t>
  </si>
  <si>
    <t>MediaVideo</t>
  </si>
  <si>
    <t>Reference to an audio to play for this node. Data URI allowed.</t>
  </si>
  <si>
    <t>URL following standard HTML href syntax.</t>
  </si>
  <si>
    <t>Tools / Chatbot Emulator</t>
  </si>
  <si>
    <t>[Ctrl][E]</t>
  </si>
  <si>
    <t>[Alt][T], [E]</t>
  </si>
  <si>
    <t>Run the contents of the decision tree in the chatbot emulator.</t>
  </si>
  <si>
    <t>Verbose</t>
  </si>
  <si>
    <t>TypeConverter</t>
  </si>
  <si>
    <t>ToString</t>
  </si>
  <si>
    <t>ToInt</t>
  </si>
  <si>
    <t>ToImpliedType</t>
  </si>
  <si>
    <t>ToHex</t>
  </si>
  <si>
    <t>ToFloat</t>
  </si>
  <si>
    <t>ToBoolean</t>
  </si>
  <si>
    <t>ThreadSleep</t>
  </si>
  <si>
    <t>SvgReplaceFileRefWithB64</t>
  </si>
  <si>
    <t>ScaleValues</t>
  </si>
  <si>
    <t>ScaleDrawing</t>
  </si>
  <si>
    <t>Saturate</t>
  </si>
  <si>
    <t>RoundedRectangle</t>
  </si>
  <si>
    <t>ResolveEnvironment</t>
  </si>
  <si>
    <t>RelativeFilename</t>
  </si>
  <si>
    <t>RefreshThumbnail</t>
  </si>
  <si>
    <t>RectangleFromPoints</t>
  </si>
  <si>
    <t>PropertyExists</t>
  </si>
  <si>
    <t>ProgressUpdate</t>
  </si>
  <si>
    <t>NodeFileObject</t>
  </si>
  <si>
    <t>NodeFileInfo</t>
  </si>
  <si>
    <t>MimeTypeExtension</t>
  </si>
  <si>
    <t>MimeType</t>
  </si>
  <si>
    <t>MediaExists</t>
  </si>
  <si>
    <t>MeasureString</t>
  </si>
  <si>
    <t>LinearInterpolate</t>
  </si>
  <si>
    <t>IsNumericScientific</t>
  </si>
  <si>
    <t>IsNumericFloatingPoint</t>
  </si>
  <si>
    <t>IsNumeric</t>
  </si>
  <si>
    <t>IsBoolean</t>
  </si>
  <si>
    <t>InsideOf</t>
  </si>
  <si>
    <t>GetValue</t>
  </si>
  <si>
    <t>GetResource</t>
  </si>
  <si>
    <t>GetRelaxedType</t>
  </si>
  <si>
    <t>GetMediaTypeName</t>
  </si>
  <si>
    <t>GetEffectivePath</t>
  </si>
  <si>
    <t>GetDataUriHeaderLength</t>
  </si>
  <si>
    <t>GetDataUri</t>
  </si>
  <si>
    <t>GetCharacterMatchCount</t>
  </si>
  <si>
    <t>FromHSL</t>
  </si>
  <si>
    <t>FromHex</t>
  </si>
  <si>
    <t>FillRoundedRectangle</t>
  </si>
  <si>
    <t>DrawRoundedRectangle</t>
  </si>
  <si>
    <t>DetachResourceByProperty</t>
  </si>
  <si>
    <t>DeScaleDrawing</t>
  </si>
  <si>
    <t>CreateVideoThumbnail</t>
  </si>
  <si>
    <t>CreateVideoResource</t>
  </si>
  <si>
    <t>CreateImageThumbnail</t>
  </si>
  <si>
    <t>CreateImageResource</t>
  </si>
  <si>
    <t>CreateAudioResource</t>
  </si>
  <si>
    <t>CreateAudioIcon</t>
  </si>
  <si>
    <t>ConvertVideoToThumbnail</t>
  </si>
  <si>
    <t>ConnectionExists</t>
  </si>
  <si>
    <t>CommonMediaTypes</t>
  </si>
  <si>
    <t>ColorHLSToRGB</t>
  </si>
  <si>
    <t>ClipboardLoadFromResource</t>
  </si>
  <si>
    <t>CenterOver</t>
  </si>
  <si>
    <t>AttachResource</t>
  </si>
  <si>
    <t>AddMediaListItems</t>
  </si>
  <si>
    <t>CreateLinkIcon</t>
  </si>
  <si>
    <t>CreateLinkResource</t>
  </si>
  <si>
    <t>DetachResourceByTicket</t>
  </si>
  <si>
    <t>UpdateThumbnails</t>
  </si>
  <si>
    <t>ScaffoldNodesUtil</t>
  </si>
  <si>
    <t>ScaffoldUtil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</si>
</sst>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0" xfId="0" applyFill="1" applyBorder="1"/>
    <xf numFmtId="0" fontId="0" fillId="0" borderId="3" xfId="0" applyBorder="1"/>
    <xf numFmtId="0" fontId="0" fillId="0" borderId="0" xfId="0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98927-D442-4334-A108-279F9A4C5635}">
  <dimension ref="A1:B65"/>
  <sheetViews>
    <sheetView tabSelected="1" workbookViewId="0">
      <pane ySplit="1" topLeftCell="A53" activePane="bottomLeft" state="frozen"/>
      <selection pane="bottomLeft" activeCell="A59" sqref="A59"/>
    </sheetView>
  </sheetViews>
  <sheetFormatPr defaultRowHeight="14.4" x14ac:dyDescent="0.3"/>
  <cols>
    <col min="1" max="1" width="23.6640625" bestFit="1" customWidth="1"/>
    <col min="2" max="2" width="24.88671875" bestFit="1" customWidth="1"/>
  </cols>
  <sheetData>
    <row r="1" spans="1:2" x14ac:dyDescent="0.3">
      <c r="A1" t="s">
        <v>317</v>
      </c>
      <c r="B1" t="s">
        <v>318</v>
      </c>
    </row>
    <row r="2" spans="1:2" x14ac:dyDescent="0.3">
      <c r="B2" t="s">
        <v>312</v>
      </c>
    </row>
    <row r="3" spans="1:2" x14ac:dyDescent="0.3">
      <c r="A3" t="s">
        <v>311</v>
      </c>
    </row>
    <row r="4" spans="1:2" x14ac:dyDescent="0.3">
      <c r="B4" t="s">
        <v>310</v>
      </c>
    </row>
    <row r="5" spans="1:2" x14ac:dyDescent="0.3">
      <c r="B5" t="s">
        <v>309</v>
      </c>
    </row>
    <row r="6" spans="1:2" x14ac:dyDescent="0.3">
      <c r="B6" t="s">
        <v>308</v>
      </c>
    </row>
    <row r="7" spans="1:2" x14ac:dyDescent="0.3">
      <c r="A7" t="s">
        <v>307</v>
      </c>
    </row>
    <row r="8" spans="1:2" x14ac:dyDescent="0.3">
      <c r="A8" t="s">
        <v>306</v>
      </c>
    </row>
    <row r="9" spans="1:2" x14ac:dyDescent="0.3">
      <c r="A9" t="s">
        <v>305</v>
      </c>
    </row>
    <row r="10" spans="1:2" x14ac:dyDescent="0.3">
      <c r="A10" t="s">
        <v>304</v>
      </c>
    </row>
    <row r="11" spans="1:2" x14ac:dyDescent="0.3">
      <c r="A11" t="s">
        <v>303</v>
      </c>
    </row>
    <row r="12" spans="1:2" x14ac:dyDescent="0.3">
      <c r="A12" t="s">
        <v>302</v>
      </c>
    </row>
    <row r="13" spans="1:2" x14ac:dyDescent="0.3">
      <c r="A13" t="s">
        <v>301</v>
      </c>
    </row>
    <row r="14" spans="1:2" x14ac:dyDescent="0.3">
      <c r="A14" t="s">
        <v>313</v>
      </c>
    </row>
    <row r="15" spans="1:2" x14ac:dyDescent="0.3">
      <c r="A15" t="s">
        <v>314</v>
      </c>
    </row>
    <row r="16" spans="1:2" x14ac:dyDescent="0.3">
      <c r="A16" t="s">
        <v>300</v>
      </c>
    </row>
    <row r="17" spans="1:2" x14ac:dyDescent="0.3">
      <c r="A17" t="s">
        <v>299</v>
      </c>
    </row>
    <row r="18" spans="1:2" x14ac:dyDescent="0.3">
      <c r="B18" t="s">
        <v>298</v>
      </c>
    </row>
    <row r="19" spans="1:2" x14ac:dyDescent="0.3">
      <c r="A19" t="s">
        <v>297</v>
      </c>
    </row>
    <row r="20" spans="1:2" x14ac:dyDescent="0.3">
      <c r="A20" t="s">
        <v>315</v>
      </c>
    </row>
    <row r="21" spans="1:2" x14ac:dyDescent="0.3">
      <c r="B21" t="s">
        <v>296</v>
      </c>
    </row>
    <row r="22" spans="1:2" x14ac:dyDescent="0.3">
      <c r="B22" t="s">
        <v>295</v>
      </c>
    </row>
    <row r="23" spans="1:2" x14ac:dyDescent="0.3">
      <c r="A23" t="s">
        <v>294</v>
      </c>
    </row>
    <row r="24" spans="1:2" x14ac:dyDescent="0.3">
      <c r="B24" t="s">
        <v>293</v>
      </c>
    </row>
    <row r="25" spans="1:2" x14ac:dyDescent="0.3">
      <c r="B25" t="s">
        <v>292</v>
      </c>
    </row>
    <row r="26" spans="1:2" x14ac:dyDescent="0.3">
      <c r="A26" t="s">
        <v>291</v>
      </c>
    </row>
    <row r="27" spans="1:2" x14ac:dyDescent="0.3">
      <c r="A27" t="s">
        <v>290</v>
      </c>
    </row>
    <row r="28" spans="1:2" x14ac:dyDescent="0.3">
      <c r="A28" t="s">
        <v>289</v>
      </c>
    </row>
    <row r="29" spans="1:2" x14ac:dyDescent="0.3">
      <c r="B29" t="s">
        <v>288</v>
      </c>
    </row>
    <row r="30" spans="1:2" x14ac:dyDescent="0.3">
      <c r="B30" t="s">
        <v>287</v>
      </c>
    </row>
    <row r="31" spans="1:2" x14ac:dyDescent="0.3">
      <c r="A31" t="s">
        <v>286</v>
      </c>
    </row>
    <row r="32" spans="1:2" x14ac:dyDescent="0.3">
      <c r="A32" t="s">
        <v>285</v>
      </c>
    </row>
    <row r="33" spans="1:2" x14ac:dyDescent="0.3">
      <c r="B33" t="s">
        <v>284</v>
      </c>
    </row>
    <row r="34" spans="1:2" x14ac:dyDescent="0.3">
      <c r="B34" t="s">
        <v>283</v>
      </c>
    </row>
    <row r="35" spans="1:2" x14ac:dyDescent="0.3">
      <c r="B35" t="s">
        <v>282</v>
      </c>
    </row>
    <row r="36" spans="1:2" x14ac:dyDescent="0.3">
      <c r="B36" t="s">
        <v>281</v>
      </c>
    </row>
    <row r="37" spans="1:2" x14ac:dyDescent="0.3">
      <c r="B37" t="s">
        <v>280</v>
      </c>
    </row>
    <row r="38" spans="1:2" x14ac:dyDescent="0.3">
      <c r="B38" t="s">
        <v>279</v>
      </c>
    </row>
    <row r="39" spans="1:2" x14ac:dyDescent="0.3">
      <c r="B39" t="s">
        <v>278</v>
      </c>
    </row>
    <row r="40" spans="1:2" x14ac:dyDescent="0.3">
      <c r="A40" t="s">
        <v>277</v>
      </c>
    </row>
    <row r="41" spans="1:2" x14ac:dyDescent="0.3">
      <c r="A41" t="s">
        <v>276</v>
      </c>
    </row>
    <row r="42" spans="1:2" x14ac:dyDescent="0.3">
      <c r="A42" t="s">
        <v>275</v>
      </c>
    </row>
    <row r="43" spans="1:2" x14ac:dyDescent="0.3">
      <c r="A43" t="s">
        <v>274</v>
      </c>
    </row>
    <row r="44" spans="1:2" x14ac:dyDescent="0.3">
      <c r="A44" t="s">
        <v>273</v>
      </c>
    </row>
    <row r="45" spans="1:2" x14ac:dyDescent="0.3">
      <c r="B45" t="s">
        <v>272</v>
      </c>
    </row>
    <row r="46" spans="1:2" x14ac:dyDescent="0.3">
      <c r="A46" t="s">
        <v>271</v>
      </c>
    </row>
    <row r="47" spans="1:2" x14ac:dyDescent="0.3">
      <c r="B47" t="s">
        <v>270</v>
      </c>
    </row>
    <row r="48" spans="1:2" x14ac:dyDescent="0.3">
      <c r="A48" t="s">
        <v>269</v>
      </c>
    </row>
    <row r="49" spans="1:2" x14ac:dyDescent="0.3">
      <c r="B49" t="s">
        <v>268</v>
      </c>
    </row>
    <row r="50" spans="1:2" x14ac:dyDescent="0.3">
      <c r="B50" t="s">
        <v>267</v>
      </c>
    </row>
    <row r="51" spans="1:2" x14ac:dyDescent="0.3">
      <c r="B51" t="s">
        <v>266</v>
      </c>
    </row>
    <row r="52" spans="1:2" x14ac:dyDescent="0.3">
      <c r="B52" t="s">
        <v>265</v>
      </c>
    </row>
    <row r="53" spans="1:2" x14ac:dyDescent="0.3">
      <c r="B53" t="s">
        <v>264</v>
      </c>
    </row>
    <row r="54" spans="1:2" x14ac:dyDescent="0.3">
      <c r="B54" t="s">
        <v>263</v>
      </c>
    </row>
    <row r="55" spans="1:2" x14ac:dyDescent="0.3">
      <c r="B55" t="s">
        <v>262</v>
      </c>
    </row>
    <row r="56" spans="1:2" x14ac:dyDescent="0.3">
      <c r="B56" t="s">
        <v>261</v>
      </c>
    </row>
    <row r="57" spans="1:2" x14ac:dyDescent="0.3">
      <c r="B57" t="s">
        <v>260</v>
      </c>
    </row>
    <row r="58" spans="1:2" x14ac:dyDescent="0.3">
      <c r="B58" t="s">
        <v>259</v>
      </c>
    </row>
    <row r="59" spans="1:2" x14ac:dyDescent="0.3">
      <c r="A59" t="s">
        <v>258</v>
      </c>
    </row>
    <row r="60" spans="1:2" x14ac:dyDescent="0.3">
      <c r="B60" t="s">
        <v>257</v>
      </c>
    </row>
    <row r="61" spans="1:2" x14ac:dyDescent="0.3">
      <c r="B61" t="s">
        <v>256</v>
      </c>
    </row>
    <row r="62" spans="1:2" x14ac:dyDescent="0.3">
      <c r="B62" t="s">
        <v>255</v>
      </c>
    </row>
    <row r="63" spans="1:2" x14ac:dyDescent="0.3">
      <c r="B63" t="s">
        <v>254</v>
      </c>
    </row>
    <row r="64" spans="1:2" x14ac:dyDescent="0.3">
      <c r="A64" t="s">
        <v>316</v>
      </c>
    </row>
    <row r="65" spans="2:2" x14ac:dyDescent="0.3">
      <c r="B65" t="s">
        <v>253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BD97-6A7B-48C2-B77E-036DA9A55DEB}">
  <dimension ref="A2:C18"/>
  <sheetViews>
    <sheetView workbookViewId="0">
      <selection activeCell="B6" sqref="B6"/>
    </sheetView>
  </sheetViews>
  <sheetFormatPr defaultRowHeight="14.4" x14ac:dyDescent="0.3"/>
  <sheetData>
    <row r="2" spans="1:3" x14ac:dyDescent="0.3">
      <c r="A2" t="s">
        <v>0</v>
      </c>
      <c r="B2" s="1">
        <v>423</v>
      </c>
    </row>
    <row r="3" spans="1:3" x14ac:dyDescent="0.3">
      <c r="A3" t="s">
        <v>1</v>
      </c>
      <c r="B3" s="1">
        <v>322</v>
      </c>
    </row>
    <row r="5" spans="1:3" x14ac:dyDescent="0.3">
      <c r="A5" t="s">
        <v>10</v>
      </c>
      <c r="B5" s="1">
        <v>0</v>
      </c>
    </row>
    <row r="6" spans="1:3" x14ac:dyDescent="0.3">
      <c r="A6" t="s">
        <v>11</v>
      </c>
      <c r="B6" s="1">
        <v>-61</v>
      </c>
    </row>
    <row r="7" spans="1:3" x14ac:dyDescent="0.3">
      <c r="A7" t="s">
        <v>2</v>
      </c>
      <c r="B7" s="1">
        <v>423</v>
      </c>
    </row>
    <row r="8" spans="1:3" x14ac:dyDescent="0.3">
      <c r="A8" t="s">
        <v>3</v>
      </c>
      <c r="B8" s="1">
        <v>378</v>
      </c>
    </row>
    <row r="9" spans="1:3" ht="15" thickBot="1" x14ac:dyDescent="0.35"/>
    <row r="10" spans="1:3" ht="15" thickBot="1" x14ac:dyDescent="0.35">
      <c r="A10" t="s">
        <v>4</v>
      </c>
      <c r="B10" s="2">
        <f>MIN(0,scrollViewX)</f>
        <v>0</v>
      </c>
    </row>
    <row r="11" spans="1:3" ht="15" thickBot="1" x14ac:dyDescent="0.35">
      <c r="A11" t="s">
        <v>5</v>
      </c>
      <c r="B11" s="2">
        <f>IF(scrollPortW&lt;scrollViewW,MAX(0,scrollHMin+(scrollViewW-scrollPortW)),MAX(0,scrollHMin))</f>
        <v>0</v>
      </c>
    </row>
    <row r="12" spans="1:3" ht="15" thickBot="1" x14ac:dyDescent="0.35">
      <c r="A12" t="s">
        <v>6</v>
      </c>
      <c r="B12" s="4">
        <v>150</v>
      </c>
      <c r="C12" s="2">
        <f>IF(scrollHVal&lt;scrollHMin,scrollHMin,IF(scrollHVal&gt;scrollHMax,scrollHMax,scrollHVal))</f>
        <v>0</v>
      </c>
    </row>
    <row r="13" spans="1:3" ht="15" thickBot="1" x14ac:dyDescent="0.35">
      <c r="A13" t="s">
        <v>12</v>
      </c>
      <c r="B13" s="2">
        <f>IF(scrollHMax&gt;scrollHMin,1,0)</f>
        <v>0</v>
      </c>
      <c r="C13" s="3"/>
    </row>
    <row r="14" spans="1:3" ht="15" thickBot="1" x14ac:dyDescent="0.35"/>
    <row r="15" spans="1:3" ht="15" thickBot="1" x14ac:dyDescent="0.35">
      <c r="A15" t="s">
        <v>8</v>
      </c>
      <c r="B15" s="2">
        <f>MIN(0,scrollViewY)</f>
        <v>-61</v>
      </c>
    </row>
    <row r="16" spans="1:3" ht="15" thickBot="1" x14ac:dyDescent="0.35">
      <c r="A16" t="s">
        <v>7</v>
      </c>
      <c r="B16" s="2">
        <f>IF(scrollPortH&lt;scrollViewH,MAX(0,scrollVMin+(scrollViewH-scrollPortH)),MAX(0,scrollVMin))</f>
        <v>0</v>
      </c>
    </row>
    <row r="17" spans="1:3" ht="15" thickBot="1" x14ac:dyDescent="0.35">
      <c r="A17" t="s">
        <v>9</v>
      </c>
      <c r="B17" s="4">
        <v>-5</v>
      </c>
      <c r="C17" s="2">
        <f>IF(scrollVVal&lt;scrollVMin,scrollVMin,IF(scrollVVal&gt;scrollVMax,scrollVMax,scrollVVal))</f>
        <v>-5</v>
      </c>
    </row>
    <row r="18" spans="1:3" ht="15" thickBot="1" x14ac:dyDescent="0.35">
      <c r="A18" t="s">
        <v>13</v>
      </c>
      <c r="B18" s="2">
        <f>IF(scrollVMax-scrollVMin&gt;0,1,0)</f>
        <v>1</v>
      </c>
      <c r="C1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3E647-6201-48CD-80CA-AA96EBB3E3FC}">
  <dimension ref="A1:B14"/>
  <sheetViews>
    <sheetView workbookViewId="0">
      <selection activeCell="B1" sqref="B1:B14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26</v>
      </c>
    </row>
    <row r="4" spans="1:2" x14ac:dyDescent="0.3">
      <c r="A4">
        <v>3</v>
      </c>
      <c r="B4" t="s">
        <v>25</v>
      </c>
    </row>
    <row r="5" spans="1:2" x14ac:dyDescent="0.3">
      <c r="A5">
        <v>4</v>
      </c>
      <c r="B5" t="s">
        <v>19</v>
      </c>
    </row>
    <row r="6" spans="1:2" x14ac:dyDescent="0.3">
      <c r="A6">
        <v>5</v>
      </c>
      <c r="B6" t="s">
        <v>18</v>
      </c>
    </row>
    <row r="7" spans="1:2" x14ac:dyDescent="0.3">
      <c r="A7">
        <v>6</v>
      </c>
      <c r="B7" t="s">
        <v>17</v>
      </c>
    </row>
    <row r="8" spans="1:2" x14ac:dyDescent="0.3">
      <c r="A8">
        <v>7</v>
      </c>
      <c r="B8" t="s">
        <v>16</v>
      </c>
    </row>
    <row r="9" spans="1:2" x14ac:dyDescent="0.3">
      <c r="A9">
        <v>8</v>
      </c>
      <c r="B9" t="s">
        <v>24</v>
      </c>
    </row>
    <row r="10" spans="1:2" x14ac:dyDescent="0.3">
      <c r="A10">
        <v>9</v>
      </c>
      <c r="B10" t="s">
        <v>23</v>
      </c>
    </row>
    <row r="11" spans="1:2" x14ac:dyDescent="0.3">
      <c r="A11">
        <v>10</v>
      </c>
      <c r="B11" t="s">
        <v>212</v>
      </c>
    </row>
    <row r="12" spans="1:2" x14ac:dyDescent="0.3">
      <c r="A12">
        <v>11</v>
      </c>
      <c r="B12" t="s">
        <v>211</v>
      </c>
    </row>
    <row r="13" spans="1:2" x14ac:dyDescent="0.3">
      <c r="A13">
        <v>12</v>
      </c>
      <c r="B13" t="s">
        <v>22</v>
      </c>
    </row>
    <row r="14" spans="1:2" x14ac:dyDescent="0.3">
      <c r="A14">
        <v>13</v>
      </c>
      <c r="B14" t="s">
        <v>15</v>
      </c>
    </row>
  </sheetData>
  <sortState xmlns:xlrd2="http://schemas.microsoft.com/office/spreadsheetml/2017/richdata2" ref="A1:B14">
    <sortCondition ref="A1:A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B8F32-837C-4DA6-8985-D04B342F6627}">
  <dimension ref="A1:E32"/>
  <sheetViews>
    <sheetView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1" max="1" width="26.5546875" bestFit="1" customWidth="1"/>
    <col min="2" max="2" width="10" bestFit="1" customWidth="1"/>
    <col min="3" max="3" width="9.88671875" bestFit="1" customWidth="1"/>
    <col min="4" max="4" width="16.33203125" bestFit="1" customWidth="1"/>
  </cols>
  <sheetData>
    <row r="1" spans="1:5" x14ac:dyDescent="0.3">
      <c r="A1" t="s">
        <v>122</v>
      </c>
      <c r="B1" t="s">
        <v>213</v>
      </c>
      <c r="C1" t="s">
        <v>217</v>
      </c>
      <c r="D1" t="s">
        <v>221</v>
      </c>
      <c r="E1" t="s">
        <v>125</v>
      </c>
    </row>
    <row r="2" spans="1:5" x14ac:dyDescent="0.3">
      <c r="A2" t="s">
        <v>211</v>
      </c>
      <c r="B2" t="s">
        <v>214</v>
      </c>
      <c r="C2">
        <v>1</v>
      </c>
      <c r="D2" t="s">
        <v>224</v>
      </c>
    </row>
    <row r="3" spans="1:5" x14ac:dyDescent="0.3">
      <c r="A3" t="s">
        <v>16</v>
      </c>
      <c r="B3" t="s">
        <v>214</v>
      </c>
      <c r="C3">
        <v>1</v>
      </c>
      <c r="D3" t="s">
        <v>224</v>
      </c>
    </row>
    <row r="4" spans="1:5" x14ac:dyDescent="0.3">
      <c r="A4" t="s">
        <v>244</v>
      </c>
      <c r="B4" t="s">
        <v>238</v>
      </c>
      <c r="C4">
        <v>0</v>
      </c>
      <c r="D4" t="s">
        <v>239</v>
      </c>
      <c r="E4" t="s">
        <v>247</v>
      </c>
    </row>
    <row r="5" spans="1:5" x14ac:dyDescent="0.3">
      <c r="A5" t="s">
        <v>241</v>
      </c>
      <c r="B5" t="s">
        <v>238</v>
      </c>
      <c r="C5">
        <v>0</v>
      </c>
      <c r="D5" t="s">
        <v>239</v>
      </c>
      <c r="E5" t="s">
        <v>240</v>
      </c>
    </row>
    <row r="6" spans="1:5" x14ac:dyDescent="0.3">
      <c r="A6" t="s">
        <v>242</v>
      </c>
      <c r="B6" t="s">
        <v>238</v>
      </c>
      <c r="C6">
        <v>0</v>
      </c>
      <c r="D6" t="s">
        <v>243</v>
      </c>
      <c r="E6" t="s">
        <v>248</v>
      </c>
    </row>
    <row r="7" spans="1:5" x14ac:dyDescent="0.3">
      <c r="A7" t="s">
        <v>246</v>
      </c>
      <c r="B7" t="s">
        <v>238</v>
      </c>
      <c r="C7">
        <v>0</v>
      </c>
      <c r="D7" t="s">
        <v>239</v>
      </c>
      <c r="E7" t="s">
        <v>245</v>
      </c>
    </row>
    <row r="8" spans="1:5" x14ac:dyDescent="0.3">
      <c r="A8" t="s">
        <v>23</v>
      </c>
      <c r="B8" t="s">
        <v>214</v>
      </c>
      <c r="C8">
        <v>1</v>
      </c>
      <c r="D8" t="s">
        <v>225</v>
      </c>
    </row>
    <row r="9" spans="1:5" x14ac:dyDescent="0.3">
      <c r="A9" t="s">
        <v>212</v>
      </c>
      <c r="B9" t="s">
        <v>214</v>
      </c>
      <c r="C9">
        <v>1</v>
      </c>
      <c r="D9" t="s">
        <v>225</v>
      </c>
    </row>
    <row r="10" spans="1:5" x14ac:dyDescent="0.3">
      <c r="A10" t="s">
        <v>26</v>
      </c>
      <c r="B10" t="s">
        <v>214</v>
      </c>
      <c r="C10">
        <v>1</v>
      </c>
      <c r="D10" t="s">
        <v>222</v>
      </c>
    </row>
    <row r="11" spans="1:5" x14ac:dyDescent="0.3">
      <c r="A11" t="s">
        <v>15</v>
      </c>
      <c r="B11" t="s">
        <v>214</v>
      </c>
      <c r="C11">
        <v>1</v>
      </c>
      <c r="D11" t="s">
        <v>227</v>
      </c>
    </row>
    <row r="12" spans="1:5" x14ac:dyDescent="0.3">
      <c r="A12" t="s">
        <v>215</v>
      </c>
      <c r="B12" t="s">
        <v>218</v>
      </c>
      <c r="C12">
        <v>1</v>
      </c>
      <c r="D12" t="s">
        <v>222</v>
      </c>
    </row>
    <row r="13" spans="1:5" x14ac:dyDescent="0.3">
      <c r="A13" t="s">
        <v>22</v>
      </c>
      <c r="B13" t="s">
        <v>214</v>
      </c>
      <c r="C13">
        <v>1</v>
      </c>
      <c r="D13" t="s">
        <v>226</v>
      </c>
    </row>
    <row r="14" spans="1:5" x14ac:dyDescent="0.3">
      <c r="A14" t="s">
        <v>216</v>
      </c>
      <c r="B14" t="s">
        <v>219</v>
      </c>
      <c r="C14">
        <v>1</v>
      </c>
      <c r="D14" t="s">
        <v>225</v>
      </c>
    </row>
    <row r="15" spans="1:5" x14ac:dyDescent="0.3">
      <c r="A15" t="s">
        <v>220</v>
      </c>
      <c r="B15" t="s">
        <v>219</v>
      </c>
      <c r="C15">
        <v>1</v>
      </c>
      <c r="D15" t="s">
        <v>225</v>
      </c>
    </row>
    <row r="16" spans="1:5" x14ac:dyDescent="0.3">
      <c r="A16" t="s">
        <v>228</v>
      </c>
      <c r="B16" t="s">
        <v>219</v>
      </c>
      <c r="C16">
        <v>1</v>
      </c>
      <c r="D16" t="s">
        <v>225</v>
      </c>
    </row>
    <row r="17" spans="1:4" x14ac:dyDescent="0.3">
      <c r="A17" t="s">
        <v>229</v>
      </c>
      <c r="B17" t="s">
        <v>219</v>
      </c>
      <c r="C17">
        <v>1</v>
      </c>
      <c r="D17" t="s">
        <v>222</v>
      </c>
    </row>
    <row r="18" spans="1:4" x14ac:dyDescent="0.3">
      <c r="A18" t="s">
        <v>230</v>
      </c>
      <c r="B18" t="s">
        <v>219</v>
      </c>
      <c r="C18">
        <v>1</v>
      </c>
      <c r="D18" t="s">
        <v>224</v>
      </c>
    </row>
    <row r="19" spans="1:4" x14ac:dyDescent="0.3">
      <c r="A19" t="s">
        <v>231</v>
      </c>
      <c r="B19" t="s">
        <v>219</v>
      </c>
      <c r="C19">
        <v>1</v>
      </c>
      <c r="D19" t="s">
        <v>222</v>
      </c>
    </row>
    <row r="20" spans="1:4" x14ac:dyDescent="0.3">
      <c r="A20" t="s">
        <v>232</v>
      </c>
      <c r="B20" t="s">
        <v>219</v>
      </c>
      <c r="C20">
        <v>1</v>
      </c>
      <c r="D20" t="s">
        <v>223</v>
      </c>
    </row>
    <row r="21" spans="1:4" x14ac:dyDescent="0.3">
      <c r="A21" t="s">
        <v>233</v>
      </c>
      <c r="B21" t="s">
        <v>219</v>
      </c>
      <c r="C21">
        <v>1</v>
      </c>
      <c r="D21" t="s">
        <v>222</v>
      </c>
    </row>
    <row r="22" spans="1:4" x14ac:dyDescent="0.3">
      <c r="A22" t="s">
        <v>234</v>
      </c>
      <c r="B22" t="s">
        <v>219</v>
      </c>
      <c r="C22">
        <v>1</v>
      </c>
      <c r="D22" t="s">
        <v>224</v>
      </c>
    </row>
    <row r="23" spans="1:4" x14ac:dyDescent="0.3">
      <c r="A23" t="s">
        <v>235</v>
      </c>
      <c r="B23" t="s">
        <v>219</v>
      </c>
      <c r="C23">
        <v>1</v>
      </c>
      <c r="D23" t="s">
        <v>224</v>
      </c>
    </row>
    <row r="24" spans="1:4" x14ac:dyDescent="0.3">
      <c r="A24" t="s">
        <v>236</v>
      </c>
      <c r="B24" t="s">
        <v>219</v>
      </c>
      <c r="C24">
        <v>1</v>
      </c>
      <c r="D24" t="s">
        <v>224</v>
      </c>
    </row>
    <row r="25" spans="1:4" x14ac:dyDescent="0.3">
      <c r="A25" t="s">
        <v>237</v>
      </c>
      <c r="B25" t="s">
        <v>219</v>
      </c>
      <c r="C25">
        <v>1</v>
      </c>
      <c r="D25" t="s">
        <v>222</v>
      </c>
    </row>
    <row r="26" spans="1:4" x14ac:dyDescent="0.3">
      <c r="A26" t="s">
        <v>31</v>
      </c>
      <c r="B26" t="s">
        <v>214</v>
      </c>
      <c r="C26">
        <v>1</v>
      </c>
      <c r="D26" t="s">
        <v>222</v>
      </c>
    </row>
    <row r="27" spans="1:4" x14ac:dyDescent="0.3">
      <c r="A27" t="s">
        <v>24</v>
      </c>
      <c r="B27" t="s">
        <v>214</v>
      </c>
      <c r="C27">
        <v>1</v>
      </c>
      <c r="D27" t="s">
        <v>224</v>
      </c>
    </row>
    <row r="28" spans="1:4" x14ac:dyDescent="0.3">
      <c r="A28" t="s">
        <v>21</v>
      </c>
      <c r="B28" t="s">
        <v>214</v>
      </c>
      <c r="C28">
        <v>1</v>
      </c>
      <c r="D28" t="s">
        <v>222</v>
      </c>
    </row>
    <row r="29" spans="1:4" x14ac:dyDescent="0.3">
      <c r="A29" t="s">
        <v>17</v>
      </c>
      <c r="B29" t="s">
        <v>214</v>
      </c>
      <c r="C29">
        <v>1</v>
      </c>
      <c r="D29" t="s">
        <v>224</v>
      </c>
    </row>
    <row r="30" spans="1:4" x14ac:dyDescent="0.3">
      <c r="A30" t="s">
        <v>19</v>
      </c>
      <c r="B30" t="s">
        <v>214</v>
      </c>
      <c r="C30">
        <v>1</v>
      </c>
      <c r="D30" t="s">
        <v>224</v>
      </c>
    </row>
    <row r="31" spans="1:4" x14ac:dyDescent="0.3">
      <c r="A31" t="s">
        <v>18</v>
      </c>
      <c r="B31" t="s">
        <v>214</v>
      </c>
      <c r="C31">
        <v>1</v>
      </c>
      <c r="D31" t="s">
        <v>224</v>
      </c>
    </row>
    <row r="32" spans="1:4" x14ac:dyDescent="0.3">
      <c r="A32" t="s">
        <v>25</v>
      </c>
      <c r="B32" t="s">
        <v>214</v>
      </c>
      <c r="C32">
        <v>1</v>
      </c>
      <c r="D32" t="s">
        <v>223</v>
      </c>
    </row>
  </sheetData>
  <sortState xmlns:xlrd2="http://schemas.microsoft.com/office/spreadsheetml/2017/richdata2" ref="A2:E32">
    <sortCondition ref="A2:A3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DC263-5DA1-42EE-92DE-42FF85203A72}">
  <dimension ref="A1:B13"/>
  <sheetViews>
    <sheetView workbookViewId="0">
      <selection activeCell="B2" sqref="B2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19</v>
      </c>
    </row>
    <row r="5" spans="1:2" x14ac:dyDescent="0.3">
      <c r="A5">
        <v>4</v>
      </c>
      <c r="B5" t="s">
        <v>18</v>
      </c>
    </row>
    <row r="6" spans="1:2" x14ac:dyDescent="0.3">
      <c r="A6">
        <v>5</v>
      </c>
      <c r="B6" t="s">
        <v>17</v>
      </c>
    </row>
    <row r="7" spans="1:2" x14ac:dyDescent="0.3">
      <c r="A7">
        <v>6</v>
      </c>
      <c r="B7" t="s">
        <v>16</v>
      </c>
    </row>
    <row r="8" spans="1:2" x14ac:dyDescent="0.3">
      <c r="A8">
        <v>7</v>
      </c>
      <c r="B8" t="s">
        <v>27</v>
      </c>
    </row>
    <row r="9" spans="1:2" x14ac:dyDescent="0.3">
      <c r="A9">
        <v>8</v>
      </c>
      <c r="B9" t="s">
        <v>28</v>
      </c>
    </row>
    <row r="10" spans="1:2" x14ac:dyDescent="0.3">
      <c r="A10">
        <v>9</v>
      </c>
      <c r="B10" t="s">
        <v>29</v>
      </c>
    </row>
    <row r="11" spans="1:2" x14ac:dyDescent="0.3">
      <c r="A11">
        <v>10</v>
      </c>
      <c r="B11" t="s">
        <v>30</v>
      </c>
    </row>
    <row r="12" spans="1:2" x14ac:dyDescent="0.3">
      <c r="A12">
        <v>11</v>
      </c>
      <c r="B12" t="s">
        <v>15</v>
      </c>
    </row>
    <row r="13" spans="1:2" x14ac:dyDescent="0.3">
      <c r="A13">
        <v>12</v>
      </c>
      <c r="B13" t="s">
        <v>14</v>
      </c>
    </row>
  </sheetData>
  <sortState xmlns:xlrd2="http://schemas.microsoft.com/office/spreadsheetml/2017/richdata2" ref="A1:B15">
    <sortCondition ref="A1:A15"/>
    <sortCondition ref="B1:B1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95D4-11EF-4AFF-8EC8-F5A8CC9AD15D}">
  <dimension ref="A1:F21"/>
  <sheetViews>
    <sheetView workbookViewId="0">
      <pane ySplit="1" topLeftCell="A2" activePane="bottomLeft" state="frozen"/>
      <selection pane="bottomLeft" activeCell="A2" sqref="A2:A6"/>
    </sheetView>
  </sheetViews>
  <sheetFormatPr defaultRowHeight="14.4" x14ac:dyDescent="0.3"/>
  <cols>
    <col min="1" max="1" width="10.109375" bestFit="1" customWidth="1"/>
    <col min="2" max="2" width="9.77734375" bestFit="1" customWidth="1"/>
    <col min="3" max="3" width="14.33203125" bestFit="1" customWidth="1"/>
    <col min="4" max="4" width="15.109375" bestFit="1" customWidth="1"/>
    <col min="5" max="5" width="9" bestFit="1" customWidth="1"/>
    <col min="6" max="6" width="7" bestFit="1" customWidth="1"/>
  </cols>
  <sheetData>
    <row r="1" spans="1:6" x14ac:dyDescent="0.3">
      <c r="A1" t="s">
        <v>32</v>
      </c>
      <c r="B1" t="s">
        <v>33</v>
      </c>
      <c r="C1" t="s">
        <v>45</v>
      </c>
      <c r="D1" t="s">
        <v>45</v>
      </c>
      <c r="E1" t="s">
        <v>45</v>
      </c>
      <c r="F1" t="s">
        <v>45</v>
      </c>
    </row>
    <row r="2" spans="1:6" x14ac:dyDescent="0.3">
      <c r="A2" s="6" t="s">
        <v>62</v>
      </c>
      <c r="B2" t="s">
        <v>34</v>
      </c>
      <c r="C2" t="s">
        <v>41</v>
      </c>
    </row>
    <row r="3" spans="1:6" x14ac:dyDescent="0.3">
      <c r="A3" s="6"/>
      <c r="B3" t="s">
        <v>35</v>
      </c>
      <c r="C3" t="s">
        <v>41</v>
      </c>
    </row>
    <row r="4" spans="1:6" x14ac:dyDescent="0.3">
      <c r="A4" s="6"/>
      <c r="B4" t="s">
        <v>36</v>
      </c>
      <c r="C4" t="s">
        <v>42</v>
      </c>
      <c r="D4" t="s">
        <v>46</v>
      </c>
    </row>
    <row r="5" spans="1:6" x14ac:dyDescent="0.3">
      <c r="A5" s="6"/>
      <c r="B5" t="s">
        <v>38</v>
      </c>
      <c r="C5" t="s">
        <v>53</v>
      </c>
      <c r="D5" t="s">
        <v>54</v>
      </c>
    </row>
    <row r="6" spans="1:6" x14ac:dyDescent="0.3">
      <c r="A6" s="6"/>
      <c r="B6" t="s">
        <v>40</v>
      </c>
      <c r="C6" t="s">
        <v>60</v>
      </c>
      <c r="D6" t="s">
        <v>44</v>
      </c>
    </row>
    <row r="7" spans="1:6" x14ac:dyDescent="0.3">
      <c r="A7" s="7" t="s">
        <v>37</v>
      </c>
      <c r="B7" t="s">
        <v>34</v>
      </c>
      <c r="C7" t="s">
        <v>47</v>
      </c>
      <c r="D7" t="s">
        <v>44</v>
      </c>
    </row>
    <row r="8" spans="1:6" x14ac:dyDescent="0.3">
      <c r="A8" s="7"/>
      <c r="B8" t="s">
        <v>35</v>
      </c>
      <c r="C8" t="s">
        <v>47</v>
      </c>
      <c r="D8" t="s">
        <v>48</v>
      </c>
    </row>
    <row r="9" spans="1:6" x14ac:dyDescent="0.3">
      <c r="A9" s="7"/>
      <c r="B9" t="s">
        <v>36</v>
      </c>
      <c r="C9" t="s">
        <v>47</v>
      </c>
      <c r="D9" t="s">
        <v>49</v>
      </c>
      <c r="E9" t="s">
        <v>46</v>
      </c>
    </row>
    <row r="10" spans="1:6" x14ac:dyDescent="0.3">
      <c r="A10" s="7"/>
      <c r="B10" t="s">
        <v>38</v>
      </c>
      <c r="C10" t="s">
        <v>47</v>
      </c>
      <c r="D10" t="s">
        <v>50</v>
      </c>
    </row>
    <row r="11" spans="1:6" x14ac:dyDescent="0.3">
      <c r="A11" s="7"/>
      <c r="B11" t="s">
        <v>40</v>
      </c>
      <c r="C11" t="s">
        <v>47</v>
      </c>
      <c r="D11" t="s">
        <v>61</v>
      </c>
      <c r="E11" t="s">
        <v>44</v>
      </c>
    </row>
    <row r="12" spans="1:6" x14ac:dyDescent="0.3">
      <c r="A12" s="7" t="s">
        <v>39</v>
      </c>
      <c r="B12" t="s">
        <v>34</v>
      </c>
      <c r="C12" t="s">
        <v>43</v>
      </c>
    </row>
    <row r="13" spans="1:6" x14ac:dyDescent="0.3">
      <c r="A13" s="7"/>
      <c r="B13" t="s">
        <v>35</v>
      </c>
      <c r="C13" t="s">
        <v>51</v>
      </c>
      <c r="D13" t="s">
        <v>52</v>
      </c>
    </row>
    <row r="14" spans="1:6" x14ac:dyDescent="0.3">
      <c r="A14" s="7"/>
      <c r="B14" t="s">
        <v>36</v>
      </c>
      <c r="C14" t="s">
        <v>55</v>
      </c>
      <c r="D14" t="s">
        <v>46</v>
      </c>
    </row>
    <row r="15" spans="1:6" x14ac:dyDescent="0.3">
      <c r="A15" s="7"/>
      <c r="B15" t="s">
        <v>38</v>
      </c>
      <c r="C15" t="s">
        <v>51</v>
      </c>
      <c r="D15" t="s">
        <v>54</v>
      </c>
    </row>
    <row r="16" spans="1:6" x14ac:dyDescent="0.3">
      <c r="A16" s="7"/>
      <c r="B16" t="s">
        <v>40</v>
      </c>
      <c r="C16" t="s">
        <v>56</v>
      </c>
      <c r="D16" t="s">
        <v>44</v>
      </c>
    </row>
    <row r="17" spans="1:4" x14ac:dyDescent="0.3">
      <c r="A17" s="7" t="s">
        <v>40</v>
      </c>
      <c r="B17" t="s">
        <v>34</v>
      </c>
      <c r="C17" t="s">
        <v>58</v>
      </c>
    </row>
    <row r="18" spans="1:4" x14ac:dyDescent="0.3">
      <c r="A18" s="7"/>
      <c r="B18" t="s">
        <v>35</v>
      </c>
      <c r="C18" t="s">
        <v>58</v>
      </c>
    </row>
    <row r="19" spans="1:4" x14ac:dyDescent="0.3">
      <c r="A19" s="7"/>
      <c r="B19" t="s">
        <v>36</v>
      </c>
      <c r="C19" t="s">
        <v>57</v>
      </c>
      <c r="D19" t="s">
        <v>46</v>
      </c>
    </row>
    <row r="20" spans="1:4" x14ac:dyDescent="0.3">
      <c r="A20" s="7"/>
      <c r="B20" t="s">
        <v>38</v>
      </c>
      <c r="C20" t="s">
        <v>59</v>
      </c>
      <c r="D20" t="s">
        <v>54</v>
      </c>
    </row>
    <row r="21" spans="1:4" x14ac:dyDescent="0.3">
      <c r="A21" s="7"/>
      <c r="B21" t="s">
        <v>40</v>
      </c>
      <c r="C21" t="s">
        <v>60</v>
      </c>
      <c r="D21" t="s">
        <v>44</v>
      </c>
    </row>
  </sheetData>
  <mergeCells count="4">
    <mergeCell ref="A2:A6"/>
    <mergeCell ref="A7:A11"/>
    <mergeCell ref="A12:A16"/>
    <mergeCell ref="A17:A2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92EE-A9DB-4C01-860E-94BA7BCFF429}">
  <dimension ref="A1:H31"/>
  <sheetViews>
    <sheetView topLeftCell="A13" workbookViewId="0">
      <selection activeCell="G30" sqref="G30"/>
    </sheetView>
  </sheetViews>
  <sheetFormatPr defaultRowHeight="14.4" x14ac:dyDescent="0.3"/>
  <cols>
    <col min="1" max="9" width="3.77734375" customWidth="1"/>
  </cols>
  <sheetData>
    <row r="1" spans="1:5" x14ac:dyDescent="0.3">
      <c r="A1" t="s">
        <v>65</v>
      </c>
    </row>
    <row r="2" spans="1:5" x14ac:dyDescent="0.3">
      <c r="A2" t="s">
        <v>63</v>
      </c>
    </row>
    <row r="3" spans="1:5" x14ac:dyDescent="0.3">
      <c r="B3" t="s">
        <v>64</v>
      </c>
    </row>
    <row r="4" spans="1:5" x14ac:dyDescent="0.3">
      <c r="C4" t="s">
        <v>66</v>
      </c>
    </row>
    <row r="5" spans="1:5" x14ac:dyDescent="0.3">
      <c r="D5" t="s">
        <v>67</v>
      </c>
    </row>
    <row r="6" spans="1:5" x14ac:dyDescent="0.3">
      <c r="D6" t="s">
        <v>68</v>
      </c>
    </row>
    <row r="7" spans="1:5" x14ac:dyDescent="0.3">
      <c r="D7" t="s">
        <v>69</v>
      </c>
    </row>
    <row r="8" spans="1:5" x14ac:dyDescent="0.3">
      <c r="D8" t="s">
        <v>70</v>
      </c>
    </row>
    <row r="9" spans="1:5" x14ac:dyDescent="0.3">
      <c r="D9" t="s">
        <v>71</v>
      </c>
    </row>
    <row r="10" spans="1:5" x14ac:dyDescent="0.3">
      <c r="D10" t="s">
        <v>72</v>
      </c>
    </row>
    <row r="11" spans="1:5" x14ac:dyDescent="0.3">
      <c r="D11" t="s">
        <v>73</v>
      </c>
    </row>
    <row r="12" spans="1:5" x14ac:dyDescent="0.3">
      <c r="E12" t="s">
        <v>74</v>
      </c>
    </row>
    <row r="13" spans="1:5" x14ac:dyDescent="0.3">
      <c r="D13" t="s">
        <v>75</v>
      </c>
    </row>
    <row r="14" spans="1:5" x14ac:dyDescent="0.3">
      <c r="D14" t="s">
        <v>76</v>
      </c>
    </row>
    <row r="15" spans="1:5" x14ac:dyDescent="0.3">
      <c r="D15" t="s">
        <v>77</v>
      </c>
    </row>
    <row r="16" spans="1:5" x14ac:dyDescent="0.3">
      <c r="D16" t="s">
        <v>78</v>
      </c>
    </row>
    <row r="17" spans="4:8" x14ac:dyDescent="0.3">
      <c r="E17" t="s">
        <v>81</v>
      </c>
    </row>
    <row r="18" spans="4:8" x14ac:dyDescent="0.3">
      <c r="E18" t="s">
        <v>87</v>
      </c>
    </row>
    <row r="19" spans="4:8" x14ac:dyDescent="0.3">
      <c r="F19" t="s">
        <v>88</v>
      </c>
    </row>
    <row r="20" spans="4:8" x14ac:dyDescent="0.3">
      <c r="G20" t="s">
        <v>79</v>
      </c>
    </row>
    <row r="21" spans="4:8" x14ac:dyDescent="0.3">
      <c r="G21" t="s">
        <v>89</v>
      </c>
    </row>
    <row r="22" spans="4:8" x14ac:dyDescent="0.3">
      <c r="G22" t="s">
        <v>90</v>
      </c>
    </row>
    <row r="23" spans="4:8" x14ac:dyDescent="0.3">
      <c r="G23" t="s">
        <v>82</v>
      </c>
    </row>
    <row r="24" spans="4:8" x14ac:dyDescent="0.3">
      <c r="H24" t="s">
        <v>83</v>
      </c>
    </row>
    <row r="25" spans="4:8" x14ac:dyDescent="0.3">
      <c r="H25" t="s">
        <v>84</v>
      </c>
    </row>
    <row r="26" spans="4:8" x14ac:dyDescent="0.3">
      <c r="H26" t="s">
        <v>85</v>
      </c>
    </row>
    <row r="27" spans="4:8" x14ac:dyDescent="0.3">
      <c r="H27" t="s">
        <v>86</v>
      </c>
    </row>
    <row r="28" spans="4:8" x14ac:dyDescent="0.3">
      <c r="G28" t="s">
        <v>91</v>
      </c>
    </row>
    <row r="29" spans="4:8" x14ac:dyDescent="0.3">
      <c r="G29" t="s">
        <v>93</v>
      </c>
    </row>
    <row r="30" spans="4:8" x14ac:dyDescent="0.3">
      <c r="G30" t="s">
        <v>92</v>
      </c>
    </row>
    <row r="31" spans="4:8" x14ac:dyDescent="0.3">
      <c r="D31" t="s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7CC7-05EF-4B2E-8653-92986AB60711}">
  <dimension ref="A1:E32"/>
  <sheetViews>
    <sheetView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5" max="5" width="8.88671875" style="5"/>
  </cols>
  <sheetData>
    <row r="1" spans="1:5" x14ac:dyDescent="0.3">
      <c r="A1" t="s">
        <v>122</v>
      </c>
      <c r="B1" t="s">
        <v>124</v>
      </c>
      <c r="C1" t="s">
        <v>123</v>
      </c>
      <c r="D1" t="s">
        <v>125</v>
      </c>
      <c r="E1" s="5" t="s">
        <v>126</v>
      </c>
    </row>
    <row r="2" spans="1:5" x14ac:dyDescent="0.3">
      <c r="A2" t="s">
        <v>96</v>
      </c>
      <c r="B2" t="s">
        <v>193</v>
      </c>
      <c r="C2" t="s">
        <v>182</v>
      </c>
      <c r="D2" t="s">
        <v>194</v>
      </c>
      <c r="E2" s="5" t="s">
        <v>195</v>
      </c>
    </row>
    <row r="3" spans="1:5" x14ac:dyDescent="0.3">
      <c r="A3" t="s">
        <v>94</v>
      </c>
      <c r="B3" t="s">
        <v>199</v>
      </c>
      <c r="C3" t="s">
        <v>200</v>
      </c>
      <c r="D3" t="s">
        <v>201</v>
      </c>
    </row>
    <row r="4" spans="1:5" x14ac:dyDescent="0.3">
      <c r="A4" t="s">
        <v>95</v>
      </c>
      <c r="B4" t="s">
        <v>196</v>
      </c>
      <c r="C4" t="s">
        <v>197</v>
      </c>
      <c r="D4" t="s">
        <v>198</v>
      </c>
    </row>
    <row r="5" spans="1:5" x14ac:dyDescent="0.3">
      <c r="A5" t="s">
        <v>121</v>
      </c>
      <c r="B5" t="s">
        <v>128</v>
      </c>
      <c r="C5" t="s">
        <v>127</v>
      </c>
      <c r="D5" t="s">
        <v>129</v>
      </c>
    </row>
    <row r="6" spans="1:5" x14ac:dyDescent="0.3">
      <c r="A6" t="s">
        <v>249</v>
      </c>
      <c r="B6" t="s">
        <v>250</v>
      </c>
      <c r="C6" t="s">
        <v>251</v>
      </c>
      <c r="D6" t="s">
        <v>252</v>
      </c>
    </row>
    <row r="7" spans="1:5" x14ac:dyDescent="0.3">
      <c r="A7" t="s">
        <v>117</v>
      </c>
      <c r="B7" t="s">
        <v>144</v>
      </c>
      <c r="C7" t="s">
        <v>145</v>
      </c>
      <c r="D7" t="s">
        <v>146</v>
      </c>
      <c r="E7" s="5" t="s">
        <v>147</v>
      </c>
    </row>
    <row r="8" spans="1:5" x14ac:dyDescent="0.3">
      <c r="A8" t="s">
        <v>116</v>
      </c>
      <c r="B8" t="s">
        <v>144</v>
      </c>
      <c r="C8" t="s">
        <v>145</v>
      </c>
      <c r="D8" t="s">
        <v>149</v>
      </c>
      <c r="E8" s="5" t="s">
        <v>150</v>
      </c>
    </row>
    <row r="9" spans="1:5" x14ac:dyDescent="0.3">
      <c r="A9" t="s">
        <v>115</v>
      </c>
      <c r="B9" t="s">
        <v>148</v>
      </c>
      <c r="C9" t="s">
        <v>151</v>
      </c>
      <c r="D9" t="s">
        <v>152</v>
      </c>
      <c r="E9" s="5" t="s">
        <v>147</v>
      </c>
    </row>
    <row r="10" spans="1:5" x14ac:dyDescent="0.3">
      <c r="A10" t="s">
        <v>113</v>
      </c>
      <c r="B10" t="s">
        <v>148</v>
      </c>
      <c r="C10" t="s">
        <v>151</v>
      </c>
      <c r="D10" t="s">
        <v>157</v>
      </c>
      <c r="E10" s="5" t="s">
        <v>150</v>
      </c>
    </row>
    <row r="11" spans="1:5" x14ac:dyDescent="0.3">
      <c r="A11" t="s">
        <v>98</v>
      </c>
      <c r="B11" t="s">
        <v>189</v>
      </c>
      <c r="C11" t="s">
        <v>135</v>
      </c>
      <c r="D11" t="s">
        <v>191</v>
      </c>
    </row>
    <row r="12" spans="1:5" x14ac:dyDescent="0.3">
      <c r="A12" t="s">
        <v>97</v>
      </c>
      <c r="B12" t="s">
        <v>190</v>
      </c>
      <c r="C12" t="s">
        <v>185</v>
      </c>
      <c r="D12" t="s">
        <v>192</v>
      </c>
    </row>
    <row r="13" spans="1:5" x14ac:dyDescent="0.3">
      <c r="A13" t="s">
        <v>114</v>
      </c>
      <c r="B13" t="s">
        <v>153</v>
      </c>
      <c r="C13" t="s">
        <v>155</v>
      </c>
      <c r="D13" t="s">
        <v>156</v>
      </c>
      <c r="E13" s="5" t="s">
        <v>147</v>
      </c>
    </row>
    <row r="14" spans="1:5" x14ac:dyDescent="0.3">
      <c r="A14" t="s">
        <v>112</v>
      </c>
      <c r="B14" t="s">
        <v>153</v>
      </c>
      <c r="C14" t="s">
        <v>155</v>
      </c>
      <c r="D14" t="s">
        <v>158</v>
      </c>
      <c r="E14" s="5" t="s">
        <v>150</v>
      </c>
    </row>
    <row r="15" spans="1:5" x14ac:dyDescent="0.3">
      <c r="A15" t="s">
        <v>99</v>
      </c>
      <c r="B15" t="s">
        <v>154</v>
      </c>
      <c r="C15" t="s">
        <v>134</v>
      </c>
      <c r="D15" t="s">
        <v>188</v>
      </c>
    </row>
    <row r="16" spans="1:5" x14ac:dyDescent="0.3">
      <c r="A16" t="s">
        <v>120</v>
      </c>
      <c r="C16" t="s">
        <v>130</v>
      </c>
      <c r="D16" t="s">
        <v>136</v>
      </c>
      <c r="E16" s="5" t="s">
        <v>137</v>
      </c>
    </row>
    <row r="17" spans="1:5" x14ac:dyDescent="0.3">
      <c r="A17" t="s">
        <v>119</v>
      </c>
      <c r="C17" t="s">
        <v>131</v>
      </c>
      <c r="D17" t="s">
        <v>140</v>
      </c>
      <c r="E17" s="5" t="s">
        <v>137</v>
      </c>
    </row>
    <row r="18" spans="1:5" x14ac:dyDescent="0.3">
      <c r="A18" t="s">
        <v>118</v>
      </c>
      <c r="C18" t="s">
        <v>132</v>
      </c>
      <c r="D18" t="s">
        <v>143</v>
      </c>
    </row>
    <row r="19" spans="1:5" x14ac:dyDescent="0.3">
      <c r="A19" t="s">
        <v>109</v>
      </c>
      <c r="C19" t="s">
        <v>138</v>
      </c>
      <c r="D19" t="s">
        <v>161</v>
      </c>
      <c r="E19" s="5" t="s">
        <v>162</v>
      </c>
    </row>
    <row r="20" spans="1:5" x14ac:dyDescent="0.3">
      <c r="A20" t="s">
        <v>111</v>
      </c>
      <c r="C20" t="s">
        <v>141</v>
      </c>
      <c r="D20" t="s">
        <v>159</v>
      </c>
    </row>
    <row r="21" spans="1:5" x14ac:dyDescent="0.3">
      <c r="A21" t="s">
        <v>108</v>
      </c>
      <c r="C21" t="s">
        <v>133</v>
      </c>
      <c r="D21" t="s">
        <v>164</v>
      </c>
      <c r="E21" s="5" t="s">
        <v>165</v>
      </c>
    </row>
    <row r="22" spans="1:5" x14ac:dyDescent="0.3">
      <c r="A22" t="s">
        <v>110</v>
      </c>
      <c r="C22" t="s">
        <v>163</v>
      </c>
      <c r="D22" t="s">
        <v>160</v>
      </c>
    </row>
    <row r="23" spans="1:5" x14ac:dyDescent="0.3">
      <c r="A23" t="s">
        <v>101</v>
      </c>
      <c r="C23" t="s">
        <v>181</v>
      </c>
      <c r="D23" t="s">
        <v>183</v>
      </c>
      <c r="E23" s="5" t="s">
        <v>184</v>
      </c>
    </row>
    <row r="24" spans="1:5" x14ac:dyDescent="0.3">
      <c r="A24" t="s">
        <v>102</v>
      </c>
      <c r="C24" t="s">
        <v>142</v>
      </c>
      <c r="D24" t="s">
        <v>176</v>
      </c>
    </row>
    <row r="25" spans="1:5" x14ac:dyDescent="0.3">
      <c r="A25" t="s">
        <v>202</v>
      </c>
      <c r="C25" t="s">
        <v>177</v>
      </c>
      <c r="D25" t="s">
        <v>178</v>
      </c>
    </row>
    <row r="26" spans="1:5" x14ac:dyDescent="0.3">
      <c r="A26" t="s">
        <v>203</v>
      </c>
      <c r="C26" t="s">
        <v>179</v>
      </c>
      <c r="D26" t="s">
        <v>180</v>
      </c>
    </row>
    <row r="27" spans="1:5" x14ac:dyDescent="0.3">
      <c r="A27" t="s">
        <v>105</v>
      </c>
      <c r="C27" t="s">
        <v>172</v>
      </c>
      <c r="D27" t="s">
        <v>173</v>
      </c>
    </row>
    <row r="28" spans="1:5" x14ac:dyDescent="0.3">
      <c r="A28" t="s">
        <v>106</v>
      </c>
      <c r="C28" t="s">
        <v>167</v>
      </c>
      <c r="D28" t="s">
        <v>171</v>
      </c>
    </row>
    <row r="29" spans="1:5" x14ac:dyDescent="0.3">
      <c r="A29" t="s">
        <v>107</v>
      </c>
      <c r="C29" t="s">
        <v>166</v>
      </c>
      <c r="D29" t="s">
        <v>170</v>
      </c>
    </row>
    <row r="30" spans="1:5" x14ac:dyDescent="0.3">
      <c r="A30" t="s">
        <v>104</v>
      </c>
      <c r="C30" t="s">
        <v>168</v>
      </c>
      <c r="D30" t="s">
        <v>174</v>
      </c>
    </row>
    <row r="31" spans="1:5" x14ac:dyDescent="0.3">
      <c r="A31" t="s">
        <v>103</v>
      </c>
      <c r="C31" t="s">
        <v>169</v>
      </c>
      <c r="D31" t="s">
        <v>175</v>
      </c>
    </row>
    <row r="32" spans="1:5" x14ac:dyDescent="0.3">
      <c r="A32" t="s">
        <v>100</v>
      </c>
      <c r="C32" t="s">
        <v>139</v>
      </c>
      <c r="D32" t="s">
        <v>186</v>
      </c>
      <c r="E32" s="5" t="s">
        <v>187</v>
      </c>
    </row>
  </sheetData>
  <sortState xmlns:xlrd2="http://schemas.microsoft.com/office/spreadsheetml/2017/richdata2" ref="A2:E32">
    <sortCondition ref="B2:B3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D91F-4BDC-4EB7-B44C-E90C5FD09A07}">
  <dimension ref="A1:C4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11.77734375" bestFit="1" customWidth="1"/>
    <col min="2" max="2" width="13.5546875" bestFit="1" customWidth="1"/>
  </cols>
  <sheetData>
    <row r="1" spans="1:3" x14ac:dyDescent="0.3">
      <c r="A1" t="s">
        <v>204</v>
      </c>
      <c r="B1" t="s">
        <v>125</v>
      </c>
      <c r="C1" t="s">
        <v>126</v>
      </c>
    </row>
    <row r="2" spans="1:3" x14ac:dyDescent="0.3">
      <c r="A2" t="s">
        <v>205</v>
      </c>
      <c r="B2" t="s">
        <v>206</v>
      </c>
    </row>
    <row r="3" spans="1:3" x14ac:dyDescent="0.3">
      <c r="A3" t="s">
        <v>207</v>
      </c>
      <c r="B3" t="s">
        <v>208</v>
      </c>
    </row>
    <row r="4" spans="1:3" x14ac:dyDescent="0.3">
      <c r="A4" t="s">
        <v>209</v>
      </c>
      <c r="B4" t="s">
        <v>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UtilMigrationNodesUpdate</vt:lpstr>
      <vt:lpstr>ScrollRange</vt:lpstr>
      <vt:lpstr>NodeBuiltInPropertyOrder</vt:lpstr>
      <vt:lpstr>NodeProperties</vt:lpstr>
      <vt:lpstr>SocketDataOrder</vt:lpstr>
      <vt:lpstr>EasingCombo</vt:lpstr>
      <vt:lpstr>SVGRender</vt:lpstr>
      <vt:lpstr>MenuItems</vt:lpstr>
      <vt:lpstr>MouseBehaviors</vt:lpstr>
      <vt:lpstr>scrollHMax</vt:lpstr>
      <vt:lpstr>scrollHMin</vt:lpstr>
      <vt:lpstr>scrollHVal</vt:lpstr>
      <vt:lpstr>scrollPortH</vt:lpstr>
      <vt:lpstr>scrollPortW</vt:lpstr>
      <vt:lpstr>scrollViewH</vt:lpstr>
      <vt:lpstr>scrollViewW</vt:lpstr>
      <vt:lpstr>scrollViewX</vt:lpstr>
      <vt:lpstr>scrollViewY</vt:lpstr>
      <vt:lpstr>scrollVMax</vt:lpstr>
      <vt:lpstr>scrollVMin</vt:lpstr>
      <vt:lpstr>scrollVVal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2020-08-25T12:33:54Z</dcterms:created>
  <dcterms:modified xsi:type="dcterms:W3CDTF">2020-11-26T00:26:31Z</dcterms:modified>
</cp:coreProperties>
</file>